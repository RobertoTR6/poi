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241b048a395d05e/Escritorio/APPs/appVCIS/"/>
    </mc:Choice>
  </mc:AlternateContent>
  <xr:revisionPtr revIDLastSave="23" documentId="13_ncr:1_{7046EB0E-B1FF-4AFE-BB19-D031EB609CDE}" xr6:coauthVersionLast="47" xr6:coauthVersionMax="47" xr10:uidLastSave="{64580EA8-1ED8-4058-8DD1-B11B16ADF9E8}"/>
  <bookViews>
    <workbookView xWindow="-120" yWindow="-120" windowWidth="29040" windowHeight="15720" xr2:uid="{00000000-000D-0000-FFFF-FFFF00000000}"/>
  </bookViews>
  <sheets>
    <sheet name="RIS iniciadoras al 2026" sheetId="1" r:id="rId1"/>
    <sheet name="Detalle de RIS iniciadoras 2025" sheetId="2" state="hidden" r:id="rId2"/>
    <sheet name="FECHAS DE AT 2025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S2FEHNACHPUy3b9+lN8HrIsav39tBOhdTkglWoFcbtY="/>
    </ext>
  </extLst>
</workbook>
</file>

<file path=xl/calcChain.xml><?xml version="1.0" encoding="utf-8"?>
<calcChain xmlns="http://schemas.openxmlformats.org/spreadsheetml/2006/main">
  <c r="B9" i="3" l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8" i="3"/>
  <c r="B7" i="3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10" i="2"/>
  <c r="B11" i="2" s="1"/>
  <c r="B12" i="2" s="1"/>
  <c r="B13" i="2" s="1"/>
  <c r="B14" i="2" s="1"/>
  <c r="B9" i="2"/>
  <c r="B7" i="2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8" i="1" l="1"/>
  <c r="A47" i="1"/>
  <c r="A49" i="1" s="1"/>
  <c r="A50" i="1" s="1"/>
</calcChain>
</file>

<file path=xl/sharedStrings.xml><?xml version="1.0" encoding="utf-8"?>
<sst xmlns="http://schemas.openxmlformats.org/spreadsheetml/2006/main" count="751" uniqueCount="198">
  <si>
    <t xml:space="preserve">N° </t>
  </si>
  <si>
    <t xml:space="preserve">RIS </t>
  </si>
  <si>
    <t>DIRESA/GERESA/DIRIS</t>
  </si>
  <si>
    <t>SECTORISTA</t>
  </si>
  <si>
    <t xml:space="preserve">RIS seleccionada
(ficha 46) </t>
  </si>
  <si>
    <t>RIS iniciadora
2024</t>
  </si>
  <si>
    <t xml:space="preserve">estado </t>
  </si>
  <si>
    <t xml:space="preserve">Indicador de gestión 2025 </t>
  </si>
  <si>
    <t xml:space="preserve">Documento de aprobación </t>
  </si>
  <si>
    <t xml:space="preserve">Expresión de interés </t>
  </si>
  <si>
    <t>RIS Bagua</t>
  </si>
  <si>
    <t>AMAZONAS</t>
  </si>
  <si>
    <t>Christian Antonio Vera Torres</t>
  </si>
  <si>
    <t>X</t>
  </si>
  <si>
    <t xml:space="preserve">activo </t>
  </si>
  <si>
    <t>x</t>
  </si>
  <si>
    <t>Oficio múltiple N° D000067-2025-DGAIN-MINSA</t>
  </si>
  <si>
    <t>RIS Pacifico Sur</t>
  </si>
  <si>
    <t>ANCASH</t>
  </si>
  <si>
    <t xml:space="preserve">RIS Huaylas Norte </t>
  </si>
  <si>
    <t>Carmen Granda Neira</t>
  </si>
  <si>
    <t xml:space="preserve">incluido mediante Oficio múltiple N° D000015-2024/DGAIN-MINSA, pero no en 2025 </t>
  </si>
  <si>
    <t xml:space="preserve">RIS Arequipa Centro </t>
  </si>
  <si>
    <t>AREQUIPA*</t>
  </si>
  <si>
    <t>Edith Magaly Rodríguez Muñoz</t>
  </si>
  <si>
    <t>RIS Islay</t>
  </si>
  <si>
    <t>RIS Camaná</t>
  </si>
  <si>
    <t>RIS Arequipa Sur Oeste</t>
  </si>
  <si>
    <t>Oficio N° 0004187-2025-GRA-GRSA/GRS-DESP-CALIDAD solicita incorporar RIS Arequipa Centro,RIS Arequipa Nor Oeste y RIS Castilla Condesuyos La Unión</t>
  </si>
  <si>
    <t xml:space="preserve">RIS Arequipa Nor Oeste </t>
  </si>
  <si>
    <t>RIS Castilla Condesuyos La Unión</t>
  </si>
  <si>
    <t>RIS Huamanga 1</t>
  </si>
  <si>
    <t>AYACUCHO</t>
  </si>
  <si>
    <t xml:space="preserve">Rosa Villanueva Carrasco </t>
  </si>
  <si>
    <t>RIS Cangallo</t>
  </si>
  <si>
    <t xml:space="preserve">No hay oficio </t>
  </si>
  <si>
    <t>RIS Jaén</t>
  </si>
  <si>
    <t>CAJAMARCA</t>
  </si>
  <si>
    <t xml:space="preserve">RIS Cajamarca </t>
  </si>
  <si>
    <t xml:space="preserve">RIS Callao </t>
  </si>
  <si>
    <t>CALLAO</t>
  </si>
  <si>
    <t>Ana María Aliaga Vásquez</t>
  </si>
  <si>
    <t>RIS Ventanilla</t>
  </si>
  <si>
    <t xml:space="preserve">RIS Acobamba </t>
  </si>
  <si>
    <t xml:space="preserve">HUANCAVELICA </t>
  </si>
  <si>
    <t>RIS Churcampa</t>
  </si>
  <si>
    <t>RIS Huánuco</t>
  </si>
  <si>
    <t>HUÁNUCO</t>
  </si>
  <si>
    <t>Gloria Altamirano Carbajal</t>
  </si>
  <si>
    <t xml:space="preserve">RIS Pisco </t>
  </si>
  <si>
    <t>ICA</t>
  </si>
  <si>
    <t xml:space="preserve">RIS Trujillo Este </t>
  </si>
  <si>
    <t xml:space="preserve">LA LIBERTAD </t>
  </si>
  <si>
    <t xml:space="preserve">RIS Trujillo Norte </t>
  </si>
  <si>
    <t>RIS Trujillo Sur</t>
  </si>
  <si>
    <t xml:space="preserve">RIS Huaral </t>
  </si>
  <si>
    <t xml:space="preserve">LIMA REGIÓN </t>
  </si>
  <si>
    <t>Katherine Silva Quispe</t>
  </si>
  <si>
    <t>RIS Huaura - Oyón</t>
  </si>
  <si>
    <t xml:space="preserve">RIS Moquegua </t>
  </si>
  <si>
    <t xml:space="preserve">MOQUEGUA </t>
  </si>
  <si>
    <t>RIS Meseta - Paucartambo</t>
  </si>
  <si>
    <t>PASCO</t>
  </si>
  <si>
    <t xml:space="preserve">Luz Elizabeth Morón Peña </t>
  </si>
  <si>
    <t xml:space="preserve">RIS Piura Veintiseis de Octubre </t>
  </si>
  <si>
    <t>PIURA</t>
  </si>
  <si>
    <t>Yovana Ochoa Carrión</t>
  </si>
  <si>
    <t xml:space="preserve">RIS Puno </t>
  </si>
  <si>
    <t>PUNO</t>
  </si>
  <si>
    <t>RIS Carabaya</t>
  </si>
  <si>
    <t xml:space="preserve">RIS San Román </t>
  </si>
  <si>
    <t>RIS Alto Mayo</t>
  </si>
  <si>
    <t>SAN MARTIN</t>
  </si>
  <si>
    <t>César Morón Pastor</t>
  </si>
  <si>
    <t>RIS Tacna</t>
  </si>
  <si>
    <t>TACNA</t>
  </si>
  <si>
    <t xml:space="preserve">RIS Tumbes </t>
  </si>
  <si>
    <t>TUMBES</t>
  </si>
  <si>
    <t xml:space="preserve">RIS Coronel Portillo </t>
  </si>
  <si>
    <t xml:space="preserve">UCAYALI </t>
  </si>
  <si>
    <t>RIS Atalaya</t>
  </si>
  <si>
    <t xml:space="preserve">Verificar la solicitud de incorporación y colocarlo </t>
  </si>
  <si>
    <t xml:space="preserve">RIS SMP </t>
  </si>
  <si>
    <t>DIRIS LIMA NORTE</t>
  </si>
  <si>
    <t>Elvia Marcia Campos Zavala</t>
  </si>
  <si>
    <t>RIS Puente Piedra - Ancón - Sta. Rosa</t>
  </si>
  <si>
    <t>RIS Comas</t>
  </si>
  <si>
    <t>RIS Rímac</t>
  </si>
  <si>
    <t>RIS Villa El Salvador</t>
  </si>
  <si>
    <t>DIRIS LIMA SUR</t>
  </si>
  <si>
    <t>Inés López Giraldo</t>
  </si>
  <si>
    <t>RIS 5</t>
  </si>
  <si>
    <t>DIRIS LIMA CENTRO</t>
  </si>
  <si>
    <t>RIS 2</t>
  </si>
  <si>
    <t>Oficio N° 0769-2025-DG/DIRIS-LC</t>
  </si>
  <si>
    <t>RIS Ate</t>
  </si>
  <si>
    <t>DIRIS LIMA ESTE</t>
  </si>
  <si>
    <t xml:space="preserve">Cynthia Sánchez Centurión </t>
  </si>
  <si>
    <t>RIS informada de estrategia y con avances reportados en líneas de intervención **</t>
  </si>
  <si>
    <t xml:space="preserve">RIS informada de estrategia y sin avances reportados en líneas de intervención </t>
  </si>
  <si>
    <t xml:space="preserve">RIS no informada y sin avances </t>
  </si>
  <si>
    <t xml:space="preserve">*Fecha de corte 15 de dic </t>
  </si>
  <si>
    <t xml:space="preserve">**Se considera RIS informada: recibió AT en la estrategia de RIS iniciadora y tiene hoja de ruta. </t>
  </si>
  <si>
    <t>RIS iniciadora
2025</t>
  </si>
  <si>
    <t>MONITOR</t>
  </si>
  <si>
    <t>APOYO EN RIS</t>
  </si>
  <si>
    <t>Documento RIS iniciadoras</t>
  </si>
  <si>
    <t>ASISTENCIA TECNICA</t>
  </si>
  <si>
    <t>OBSERVACIONES</t>
  </si>
  <si>
    <t>CHRISTIAN VERA</t>
  </si>
  <si>
    <t>YOVANA OCHOA</t>
  </si>
  <si>
    <t>Oficio Múltiple N° D000015-2024-DGAIN-MINSA</t>
  </si>
  <si>
    <t>ASISTENCIA TECNICA-Oficio N°001107-2025-G.R.AMAZONAS/DIRESA-DG (21/05/25),para las 04 RIS</t>
  </si>
  <si>
    <t>CARMEN GRANDA</t>
  </si>
  <si>
    <t>EDWARD CRUZ</t>
  </si>
  <si>
    <t>Oficio Múltiple N° D000015-2024-DGAIN-MINSA, Oficio N°783-2025-GRA/DIRESA/RSPS/D (15/04/2025)</t>
  </si>
  <si>
    <t>Envió documento cambio de Huaylas Norte a Pacifico Sur</t>
  </si>
  <si>
    <t>AREQUIPA</t>
  </si>
  <si>
    <t>MAGALY RODRIGUEZ</t>
  </si>
  <si>
    <t xml:space="preserve">JESSICA VIDAL </t>
  </si>
  <si>
    <t>ROSA VILLANUEVA</t>
  </si>
  <si>
    <t>JENNY MACO</t>
  </si>
  <si>
    <t>KATHERINE SILVA</t>
  </si>
  <si>
    <t>Lic. ANA ALIAGA</t>
  </si>
  <si>
    <t>CYNTHIA SANCHEZ</t>
  </si>
  <si>
    <t xml:space="preserve">DOCUMENTO </t>
  </si>
  <si>
    <t xml:space="preserve">RIS Huancavelica </t>
  </si>
  <si>
    <t xml:space="preserve">Shirley Gaspar </t>
  </si>
  <si>
    <t>Oficio Múltiple N° D000015-2024-DGAIN-MINSA, DIRESA NO DE ACUERDO</t>
  </si>
  <si>
    <t>Oficio N° 1243-2024-GOB:REG.HVCA/GRDS-DIRESA</t>
  </si>
  <si>
    <t xml:space="preserve">YUSSELY </t>
  </si>
  <si>
    <t>GLORIA ALTAMIRANO</t>
  </si>
  <si>
    <t>DAYANA URDAY</t>
  </si>
  <si>
    <t>Oficio N°2417-2025-GR-HCO-GDS/DRS-DG-DESP-DSS-RIS (15/04/25).
  Oficio N°986-2025- GR-hco/drs-direc-hco-odi-ais-ris(12/03/2025)</t>
  </si>
  <si>
    <t>RIS Pisco</t>
  </si>
  <si>
    <t>Luz Elizabeth Morón Peña</t>
  </si>
  <si>
    <t>LUZ MORON</t>
  </si>
  <si>
    <t>Solicitud Oficio N° 2363-2024-GORE-ICA-DIRESA-ICA-DESP-DSS/RIS</t>
  </si>
  <si>
    <t xml:space="preserve">Franco León </t>
  </si>
  <si>
    <t>FRANCO LEON</t>
  </si>
  <si>
    <t xml:space="preserve">RIS Trujillo Sur </t>
  </si>
  <si>
    <t xml:space="preserve">YONATHAN </t>
  </si>
  <si>
    <t xml:space="preserve">Gilda Trejo </t>
  </si>
  <si>
    <t>Solicitud mediante Oficio N° 1027-2025-GRP-GGR-GRDS-DRS-DESP (14/04/2025)</t>
  </si>
  <si>
    <t xml:space="preserve">Asistencia Técnica Oficio N° D000554-2025-DGAIN-MINSA </t>
  </si>
  <si>
    <t>RIS San Román</t>
  </si>
  <si>
    <t>Oficio N°1404-2025-GR-DIRESA-PUNO/DEPP-D.PP (13/05/2025) RIS Carabaya</t>
  </si>
  <si>
    <t>DR. MORON</t>
  </si>
  <si>
    <t>Oficio N°2241-2025-GRSM-DIRES/DSI (15/05/2025)</t>
  </si>
  <si>
    <t>Oficio N°3414-2024-ESS-DESP-DR-DRS.T/GOB.REG.TACNA (22/08/2024)</t>
  </si>
  <si>
    <t>Oficio N°2845-2024/GOB.REG.TUMBES-GRSD-DIRES.DR (16/10/2024)</t>
  </si>
  <si>
    <t>ASISTENCIA TECNICA-Oficio N°598-2025-GOB.REG.TUMBES-GRSD-DIRES-DG- DEl 17 al20 de junio 2025</t>
  </si>
  <si>
    <t>UCAYALI</t>
  </si>
  <si>
    <t>ELVIA CAMPOS</t>
  </si>
  <si>
    <t>RONALD VILLEGAS</t>
  </si>
  <si>
    <t xml:space="preserve">RIS Rímac </t>
  </si>
  <si>
    <t>LIC. INES LOPEZ</t>
  </si>
  <si>
    <t>LIC. ANA ALIAGA</t>
  </si>
  <si>
    <t xml:space="preserve">JENNY MACO </t>
  </si>
  <si>
    <t>LORETO</t>
  </si>
  <si>
    <t xml:space="preserve">MADRE DE DIOS </t>
  </si>
  <si>
    <t>FECHA DE ASISTENCIA TECNICA</t>
  </si>
  <si>
    <t>PASANTIA</t>
  </si>
  <si>
    <t>RIS Aymaraes</t>
  </si>
  <si>
    <t>APURÍMAC</t>
  </si>
  <si>
    <t>Luis Enrique Miguel De La Cruz</t>
  </si>
  <si>
    <t>RIS San Ignacio</t>
  </si>
  <si>
    <t>RIS Chumbivilcas</t>
  </si>
  <si>
    <t>CUSCO</t>
  </si>
  <si>
    <t xml:space="preserve">Janet Roxana Loayza Fernández </t>
  </si>
  <si>
    <t>HUANCAVELICA</t>
  </si>
  <si>
    <t>Shirley Gaspar Alvarado</t>
  </si>
  <si>
    <t>ASISTENCIA TECNICA- Oficio N°790-2025/GOB.REG.HVCA/GRDS-DIRESA (21/04/2025)</t>
  </si>
  <si>
    <t>RIS Tarma</t>
  </si>
  <si>
    <t>JUNIN</t>
  </si>
  <si>
    <t>Adriana Yataco Calla</t>
  </si>
  <si>
    <t>LA LIBERTAD</t>
  </si>
  <si>
    <t>RIS Trujillo Norte</t>
  </si>
  <si>
    <t>RIS Trujillo Este</t>
  </si>
  <si>
    <t>RIS Naylamp Sur</t>
  </si>
  <si>
    <t>LAMBAYEQUE</t>
  </si>
  <si>
    <t>LIMA</t>
  </si>
  <si>
    <t>RIS Alto Amazonas</t>
  </si>
  <si>
    <t>Alida Esther Palacios Enríquez</t>
  </si>
  <si>
    <t>RIS Madre de Dios</t>
  </si>
  <si>
    <t>MADRE DE DIOS</t>
  </si>
  <si>
    <t>Olga de los Angeles Tutaya Quispe</t>
  </si>
  <si>
    <t>RIS Moquegua</t>
  </si>
  <si>
    <t>MOQUEGUA</t>
  </si>
  <si>
    <t>Gilda Brígida Trejo Maguiña</t>
  </si>
  <si>
    <t>25 Y 26 /06/2025 EN RIS VES</t>
  </si>
  <si>
    <t>Se realizó AT virtual 16/07/25</t>
  </si>
  <si>
    <t xml:space="preserve">ASISTENCIA TECNICA-Oficio N°598-2025-GOB.REG.TUMBES-GRSD-DIRES-DG- </t>
  </si>
  <si>
    <t>DEl 17 al 20 de junio 2025</t>
  </si>
  <si>
    <t>RIS Coronel Portillo</t>
  </si>
  <si>
    <t>N/A</t>
  </si>
  <si>
    <t>Franco León Saavedra</t>
  </si>
  <si>
    <t>Ronald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</si>
</sst>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1"/>
      <color theme="1"/>
      <name val="Calibri"/>
      <scheme val="minor"/>
    </font>
    <font>
      <b/>
      <sz val="12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Arial"/>
    </font>
    <font>
      <sz val="12"/>
      <color rgb="FF000000"/>
      <name val="Arial"/>
    </font>
    <font>
      <sz val="10"/>
      <color rgb="FF000000"/>
      <name val="Arial"/>
    </font>
    <font>
      <sz val="11"/>
      <color rgb="FFFF0000"/>
      <name val="Calibri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sz val="11"/>
      <color rgb="FF000000"/>
      <name val="Aptos Display"/>
      <family val="2"/>
    </font>
    <font>
      <sz val="11"/>
      <color rgb="FFFF0000"/>
      <name val="Aptos Display"/>
      <family val="2"/>
    </font>
  </fonts>
  <fills count="12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0" fillId="7" borderId="0" xfId="0" applyFont="1" applyFill="1"/>
    <xf numFmtId="0" fontId="5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4" borderId="1" xfId="0" applyFont="1" applyFill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5" borderId="0" xfId="0" applyFont="1" applyFill="1"/>
    <xf numFmtId="0" fontId="10" fillId="0" borderId="0" xfId="0" applyFont="1"/>
    <xf numFmtId="0" fontId="10" fillId="9" borderId="0" xfId="0" applyFont="1" applyFill="1"/>
    <xf numFmtId="0" fontId="10" fillId="6" borderId="0" xfId="0" applyFont="1" applyFill="1"/>
    <xf numFmtId="0" fontId="1" fillId="2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wrapText="1"/>
    </xf>
    <xf numFmtId="0" fontId="5" fillId="10" borderId="8" xfId="0" applyFont="1" applyFill="1" applyBorder="1"/>
    <xf numFmtId="0" fontId="5" fillId="3" borderId="1" xfId="0" applyFont="1" applyFill="1" applyBorder="1"/>
    <xf numFmtId="0" fontId="5" fillId="0" borderId="0" xfId="0" applyFont="1"/>
    <xf numFmtId="0" fontId="14" fillId="4" borderId="1" xfId="0" applyFont="1" applyFill="1" applyBorder="1" applyAlignment="1">
      <alignment horizontal="center"/>
    </xf>
    <xf numFmtId="0" fontId="5" fillId="7" borderId="0" xfId="0" applyFont="1" applyFill="1"/>
    <xf numFmtId="0" fontId="5" fillId="0" borderId="1" xfId="0" applyFont="1" applyBorder="1" applyAlignment="1">
      <alignment horizontal="center"/>
    </xf>
    <xf numFmtId="0" fontId="5" fillId="9" borderId="1" xfId="0" applyFont="1" applyFill="1" applyBorder="1"/>
    <xf numFmtId="0" fontId="5" fillId="7" borderId="8" xfId="0" applyFont="1" applyFill="1" applyBorder="1"/>
    <xf numFmtId="0" fontId="5" fillId="7" borderId="1" xfId="0" applyFont="1" applyFill="1" applyBorder="1" applyAlignment="1">
      <alignment horizontal="center"/>
    </xf>
    <xf numFmtId="0" fontId="5" fillId="4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left" vertical="center" wrapText="1"/>
    </xf>
    <xf numFmtId="0" fontId="5" fillId="10" borderId="1" xfId="0" applyFont="1" applyFill="1" applyBorder="1"/>
    <xf numFmtId="0" fontId="11" fillId="6" borderId="5" xfId="0" applyFont="1" applyFill="1" applyBorder="1" applyAlignment="1">
      <alignment horizontal="left" vertical="center" wrapText="1"/>
    </xf>
    <xf numFmtId="0" fontId="5" fillId="6" borderId="1" xfId="0" applyFont="1" applyFill="1" applyBorder="1"/>
    <xf numFmtId="164" fontId="5" fillId="10" borderId="1" xfId="0" applyNumberFormat="1" applyFon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4" xfId="0" applyFont="1" applyBorder="1"/>
    <xf numFmtId="0" fontId="5" fillId="7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4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7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2" xfId="0" applyFont="1" applyBorder="1"/>
    <xf numFmtId="0" fontId="17" fillId="6" borderId="1" xfId="0" applyFont="1" applyFill="1" applyBorder="1" applyAlignment="1">
      <alignment horizontal="center"/>
    </xf>
    <xf numFmtId="0" fontId="16" fillId="7" borderId="1" xfId="0" applyFont="1" applyFill="1" applyBorder="1"/>
    <xf numFmtId="0" fontId="16" fillId="7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vertical="center" wrapText="1"/>
    </xf>
    <xf numFmtId="0" fontId="16" fillId="4" borderId="5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 wrapText="1"/>
    </xf>
    <xf numFmtId="0" fontId="17" fillId="4" borderId="3" xfId="0" applyFont="1" applyFill="1" applyBorder="1" applyAlignment="1">
      <alignment vertical="center" wrapText="1"/>
    </xf>
    <xf numFmtId="0" fontId="17" fillId="4" borderId="5" xfId="0" applyFont="1" applyFill="1" applyBorder="1" applyAlignment="1">
      <alignment vertical="center" wrapText="1"/>
    </xf>
    <xf numFmtId="0" fontId="17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left" vertical="center" wrapText="1"/>
    </xf>
    <xf numFmtId="0" fontId="16" fillId="4" borderId="1" xfId="0" applyFont="1" applyFill="1" applyBorder="1"/>
    <xf numFmtId="0" fontId="15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4"/>
  <sheetViews>
    <sheetView showGridLines="0" tabSelected="1" zoomScaleNormal="100" workbookViewId="0">
      <selection activeCell="D12" sqref="D12"/>
    </sheetView>
  </sheetViews>
  <sheetFormatPr baseColWidth="10" defaultColWidth="14.42578125" defaultRowHeight="15" customHeight="1" x14ac:dyDescent="0.25"/>
  <cols>
    <col min="1" max="1" width="5" customWidth="1"/>
    <col min="2" max="2" width="28" customWidth="1"/>
    <col min="3" max="3" width="26.5703125" customWidth="1"/>
    <col min="4" max="4" width="30.5703125" style="64" bestFit="1" customWidth="1"/>
    <col min="5" max="5" width="15.5703125" bestFit="1" customWidth="1"/>
    <col min="6" max="6" width="12.85546875" bestFit="1" customWidth="1"/>
    <col min="7" max="7" width="18" customWidth="1"/>
    <col min="8" max="8" width="10.7109375" customWidth="1"/>
    <col min="9" max="9" width="23.85546875" customWidth="1"/>
    <col min="10" max="10" width="24.28515625" customWidth="1"/>
    <col min="11" max="20" width="10.7109375" customWidth="1"/>
  </cols>
  <sheetData>
    <row r="1" spans="1:25" ht="15" customHeight="1" x14ac:dyDescent="0.25">
      <c r="A1" s="31"/>
      <c r="B1" s="32" t="s">
        <v>98</v>
      </c>
    </row>
    <row r="2" spans="1:25" ht="15" customHeight="1" x14ac:dyDescent="0.25">
      <c r="A2" s="33"/>
      <c r="B2" s="32" t="s">
        <v>99</v>
      </c>
    </row>
    <row r="3" spans="1:25" ht="15" customHeight="1" x14ac:dyDescent="0.25">
      <c r="A3" s="34"/>
      <c r="B3" s="32" t="s">
        <v>100</v>
      </c>
    </row>
    <row r="5" spans="1:25" ht="15" customHeight="1" x14ac:dyDescent="0.25">
      <c r="B5" s="32" t="s">
        <v>101</v>
      </c>
    </row>
    <row r="6" spans="1:25" ht="15" customHeight="1" x14ac:dyDescent="0.25">
      <c r="B6" s="32" t="s">
        <v>102</v>
      </c>
    </row>
    <row r="7" spans="1:25" ht="43.5" customHeight="1" x14ac:dyDescent="0.25">
      <c r="A7" s="106" t="s">
        <v>0</v>
      </c>
      <c r="B7" s="106" t="s">
        <v>1</v>
      </c>
      <c r="C7" s="106" t="s">
        <v>2</v>
      </c>
      <c r="D7" s="77" t="s">
        <v>3</v>
      </c>
      <c r="E7" s="77" t="s">
        <v>4</v>
      </c>
      <c r="F7" s="77" t="s">
        <v>5</v>
      </c>
      <c r="G7" s="77" t="s">
        <v>6</v>
      </c>
      <c r="H7" s="77" t="s">
        <v>7</v>
      </c>
      <c r="I7" s="78" t="s">
        <v>8</v>
      </c>
      <c r="J7" s="78" t="s">
        <v>9</v>
      </c>
    </row>
    <row r="8" spans="1:25" ht="15" customHeight="1" x14ac:dyDescent="0.25">
      <c r="A8" s="79">
        <v>1</v>
      </c>
      <c r="B8" s="80" t="s">
        <v>10</v>
      </c>
      <c r="C8" s="107" t="s">
        <v>11</v>
      </c>
      <c r="D8" s="107" t="s">
        <v>12</v>
      </c>
      <c r="E8" s="107" t="s">
        <v>13</v>
      </c>
      <c r="F8" s="81" t="s">
        <v>13</v>
      </c>
      <c r="G8" s="82" t="s">
        <v>14</v>
      </c>
      <c r="H8" s="83" t="s">
        <v>15</v>
      </c>
      <c r="I8" s="84" t="s">
        <v>16</v>
      </c>
      <c r="J8" s="84"/>
    </row>
    <row r="9" spans="1:25" ht="15" customHeight="1" x14ac:dyDescent="0.25">
      <c r="A9" s="79">
        <f t="shared" ref="A9:A18" si="0">A8+1</f>
        <v>2</v>
      </c>
      <c r="B9" s="80" t="s">
        <v>17</v>
      </c>
      <c r="C9" s="108" t="s">
        <v>18</v>
      </c>
      <c r="D9" s="109" t="s">
        <v>20</v>
      </c>
      <c r="E9" s="107"/>
      <c r="F9" s="81"/>
      <c r="G9" s="85" t="s">
        <v>13</v>
      </c>
      <c r="H9" s="83"/>
      <c r="I9" s="84" t="s">
        <v>16</v>
      </c>
      <c r="J9" s="84"/>
    </row>
    <row r="10" spans="1:25" ht="15" customHeight="1" x14ac:dyDescent="0.25">
      <c r="A10" s="86">
        <f t="shared" si="0"/>
        <v>3</v>
      </c>
      <c r="B10" s="87" t="s">
        <v>19</v>
      </c>
      <c r="C10" s="108" t="s">
        <v>18</v>
      </c>
      <c r="D10" s="109" t="s">
        <v>20</v>
      </c>
      <c r="E10" s="109" t="s">
        <v>13</v>
      </c>
      <c r="F10" s="88" t="s">
        <v>13</v>
      </c>
      <c r="G10" s="89" t="s">
        <v>13</v>
      </c>
      <c r="H10" s="90"/>
      <c r="I10" s="111" t="s">
        <v>21</v>
      </c>
      <c r="J10" s="84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15" customHeight="1" x14ac:dyDescent="0.25">
      <c r="A11" s="79">
        <f t="shared" si="0"/>
        <v>4</v>
      </c>
      <c r="B11" s="91" t="s">
        <v>22</v>
      </c>
      <c r="C11" s="100" t="s">
        <v>23</v>
      </c>
      <c r="D11" s="100" t="s">
        <v>24</v>
      </c>
      <c r="E11" s="100"/>
      <c r="F11" s="81" t="s">
        <v>13</v>
      </c>
      <c r="G11" s="92" t="s">
        <v>13</v>
      </c>
      <c r="H11" s="83"/>
      <c r="I11" s="84" t="s">
        <v>16</v>
      </c>
      <c r="J11" s="84"/>
    </row>
    <row r="12" spans="1:25" ht="15" customHeight="1" x14ac:dyDescent="0.25">
      <c r="A12" s="79">
        <f t="shared" si="0"/>
        <v>5</v>
      </c>
      <c r="B12" s="93" t="s">
        <v>25</v>
      </c>
      <c r="C12" s="100" t="s">
        <v>23</v>
      </c>
      <c r="D12" s="100" t="s">
        <v>24</v>
      </c>
      <c r="E12" s="100"/>
      <c r="F12" s="81"/>
      <c r="G12" s="92"/>
      <c r="H12" s="83"/>
      <c r="I12" s="84" t="s">
        <v>16</v>
      </c>
      <c r="J12" s="84"/>
    </row>
    <row r="13" spans="1:25" ht="15" customHeight="1" x14ac:dyDescent="0.25">
      <c r="A13" s="79">
        <f t="shared" si="0"/>
        <v>6</v>
      </c>
      <c r="B13" s="93" t="s">
        <v>26</v>
      </c>
      <c r="C13" s="100" t="s">
        <v>23</v>
      </c>
      <c r="D13" s="100" t="s">
        <v>24</v>
      </c>
      <c r="E13" s="100"/>
      <c r="F13" s="81"/>
      <c r="G13" s="92" t="s">
        <v>13</v>
      </c>
      <c r="H13" s="83"/>
      <c r="I13" s="84" t="s">
        <v>16</v>
      </c>
      <c r="J13" s="84"/>
    </row>
    <row r="14" spans="1:25" ht="15" customHeight="1" x14ac:dyDescent="0.25">
      <c r="A14" s="79">
        <f t="shared" si="0"/>
        <v>7</v>
      </c>
      <c r="B14" s="80" t="s">
        <v>27</v>
      </c>
      <c r="C14" s="100" t="s">
        <v>23</v>
      </c>
      <c r="D14" s="100" t="s">
        <v>24</v>
      </c>
      <c r="E14" s="100"/>
      <c r="F14" s="81"/>
      <c r="G14" s="92"/>
      <c r="H14" s="83"/>
      <c r="I14" s="111" t="s">
        <v>195</v>
      </c>
      <c r="J14" s="94" t="s">
        <v>28</v>
      </c>
    </row>
    <row r="15" spans="1:25" ht="15" customHeight="1" x14ac:dyDescent="0.25">
      <c r="A15" s="79">
        <f t="shared" si="0"/>
        <v>8</v>
      </c>
      <c r="B15" s="80" t="s">
        <v>29</v>
      </c>
      <c r="C15" s="100" t="s">
        <v>23</v>
      </c>
      <c r="D15" s="100" t="s">
        <v>24</v>
      </c>
      <c r="E15" s="100"/>
      <c r="F15" s="81"/>
      <c r="G15" s="92"/>
      <c r="H15" s="83"/>
      <c r="I15" s="111" t="s">
        <v>195</v>
      </c>
      <c r="J15" s="94" t="s">
        <v>28</v>
      </c>
    </row>
    <row r="16" spans="1:25" ht="15" customHeight="1" x14ac:dyDescent="0.25">
      <c r="A16" s="79">
        <f t="shared" si="0"/>
        <v>9</v>
      </c>
      <c r="B16" s="93" t="s">
        <v>30</v>
      </c>
      <c r="C16" s="100" t="s">
        <v>23</v>
      </c>
      <c r="D16" s="100" t="s">
        <v>24</v>
      </c>
      <c r="E16" s="100" t="s">
        <v>13</v>
      </c>
      <c r="F16" s="81"/>
      <c r="G16" s="92" t="s">
        <v>13</v>
      </c>
      <c r="H16" s="83"/>
      <c r="I16" s="111" t="s">
        <v>195</v>
      </c>
      <c r="J16" s="94" t="s">
        <v>28</v>
      </c>
    </row>
    <row r="17" spans="1:10" ht="15" customHeight="1" x14ac:dyDescent="0.25">
      <c r="A17" s="79">
        <f t="shared" si="0"/>
        <v>10</v>
      </c>
      <c r="B17" s="80" t="s">
        <v>31</v>
      </c>
      <c r="C17" s="108" t="s">
        <v>32</v>
      </c>
      <c r="D17" s="100" t="s">
        <v>33</v>
      </c>
      <c r="E17" s="100"/>
      <c r="F17" s="81" t="s">
        <v>13</v>
      </c>
      <c r="G17" s="92" t="s">
        <v>13</v>
      </c>
      <c r="H17" s="83"/>
      <c r="I17" s="84" t="s">
        <v>16</v>
      </c>
      <c r="J17" s="84"/>
    </row>
    <row r="18" spans="1:10" ht="15" customHeight="1" x14ac:dyDescent="0.25">
      <c r="A18" s="79">
        <f t="shared" si="0"/>
        <v>11</v>
      </c>
      <c r="B18" s="95" t="s">
        <v>34</v>
      </c>
      <c r="C18" s="108" t="s">
        <v>32</v>
      </c>
      <c r="D18" s="100" t="s">
        <v>33</v>
      </c>
      <c r="E18" s="108"/>
      <c r="F18" s="81"/>
      <c r="G18" s="96" t="s">
        <v>13</v>
      </c>
      <c r="H18" s="83"/>
      <c r="I18" s="111" t="s">
        <v>35</v>
      </c>
      <c r="J18" s="84"/>
    </row>
    <row r="19" spans="1:10" ht="15" customHeight="1" x14ac:dyDescent="0.25">
      <c r="A19" s="79">
        <f t="shared" ref="A19:A47" si="1">A18+1</f>
        <v>12</v>
      </c>
      <c r="B19" s="95" t="s">
        <v>36</v>
      </c>
      <c r="C19" s="100" t="s">
        <v>37</v>
      </c>
      <c r="D19" s="108" t="s">
        <v>33</v>
      </c>
      <c r="E19" s="108"/>
      <c r="F19" s="81" t="s">
        <v>13</v>
      </c>
      <c r="G19" s="82" t="s">
        <v>14</v>
      </c>
      <c r="H19" s="83" t="s">
        <v>15</v>
      </c>
      <c r="I19" s="84" t="s">
        <v>16</v>
      </c>
      <c r="J19" s="84"/>
    </row>
    <row r="20" spans="1:10" ht="15" customHeight="1" x14ac:dyDescent="0.25">
      <c r="A20" s="79">
        <f t="shared" si="1"/>
        <v>13</v>
      </c>
      <c r="B20" s="95" t="s">
        <v>38</v>
      </c>
      <c r="C20" s="100" t="s">
        <v>37</v>
      </c>
      <c r="D20" s="108" t="s">
        <v>33</v>
      </c>
      <c r="E20" s="108"/>
      <c r="F20" s="81" t="s">
        <v>13</v>
      </c>
      <c r="G20" s="82" t="s">
        <v>14</v>
      </c>
      <c r="H20" s="83" t="s">
        <v>15</v>
      </c>
      <c r="I20" s="84" t="s">
        <v>16</v>
      </c>
      <c r="J20" s="84"/>
    </row>
    <row r="21" spans="1:10" ht="15" customHeight="1" x14ac:dyDescent="0.25">
      <c r="A21" s="79">
        <f t="shared" si="1"/>
        <v>14</v>
      </c>
      <c r="B21" s="95" t="s">
        <v>39</v>
      </c>
      <c r="C21" s="100" t="s">
        <v>40</v>
      </c>
      <c r="D21" s="100" t="s">
        <v>41</v>
      </c>
      <c r="E21" s="100"/>
      <c r="F21" s="81" t="s">
        <v>13</v>
      </c>
      <c r="G21" s="82" t="s">
        <v>14</v>
      </c>
      <c r="H21" s="83" t="s">
        <v>15</v>
      </c>
      <c r="I21" s="84" t="s">
        <v>16</v>
      </c>
      <c r="J21" s="84"/>
    </row>
    <row r="22" spans="1:10" ht="15" customHeight="1" x14ac:dyDescent="0.25">
      <c r="A22" s="79">
        <f t="shared" si="1"/>
        <v>15</v>
      </c>
      <c r="B22" s="95" t="s">
        <v>42</v>
      </c>
      <c r="C22" s="100" t="s">
        <v>40</v>
      </c>
      <c r="D22" s="100" t="s">
        <v>41</v>
      </c>
      <c r="E22" s="100" t="s">
        <v>13</v>
      </c>
      <c r="F22" s="81" t="s">
        <v>13</v>
      </c>
      <c r="G22" s="82" t="s">
        <v>14</v>
      </c>
      <c r="H22" s="83" t="s">
        <v>15</v>
      </c>
      <c r="I22" s="84" t="s">
        <v>16</v>
      </c>
      <c r="J22" s="84"/>
    </row>
    <row r="23" spans="1:10" ht="15" customHeight="1" x14ac:dyDescent="0.25">
      <c r="A23" s="79">
        <f t="shared" si="1"/>
        <v>16</v>
      </c>
      <c r="B23" s="97" t="s">
        <v>43</v>
      </c>
      <c r="C23" s="100" t="s">
        <v>44</v>
      </c>
      <c r="D23" s="100"/>
      <c r="E23" s="110"/>
      <c r="F23" s="81" t="s">
        <v>13</v>
      </c>
      <c r="G23" s="92" t="s">
        <v>13</v>
      </c>
      <c r="H23" s="83" t="s">
        <v>15</v>
      </c>
      <c r="I23" s="84" t="s">
        <v>16</v>
      </c>
      <c r="J23" s="84"/>
    </row>
    <row r="24" spans="1:10" ht="15" customHeight="1" x14ac:dyDescent="0.25">
      <c r="A24" s="79">
        <f t="shared" si="1"/>
        <v>17</v>
      </c>
      <c r="B24" s="97" t="s">
        <v>45</v>
      </c>
      <c r="C24" s="100" t="s">
        <v>44</v>
      </c>
      <c r="D24" s="100"/>
      <c r="E24" s="110" t="s">
        <v>13</v>
      </c>
      <c r="F24" s="81" t="s">
        <v>13</v>
      </c>
      <c r="G24" s="96" t="s">
        <v>13</v>
      </c>
      <c r="H24" s="83" t="s">
        <v>15</v>
      </c>
      <c r="I24" s="84" t="s">
        <v>16</v>
      </c>
      <c r="J24" s="84"/>
    </row>
    <row r="25" spans="1:10" ht="15" customHeight="1" x14ac:dyDescent="0.25">
      <c r="A25" s="79">
        <f t="shared" si="1"/>
        <v>18</v>
      </c>
      <c r="B25" s="97" t="s">
        <v>46</v>
      </c>
      <c r="C25" s="107" t="s">
        <v>47</v>
      </c>
      <c r="D25" s="110" t="s">
        <v>48</v>
      </c>
      <c r="E25" s="110" t="s">
        <v>13</v>
      </c>
      <c r="F25" s="81"/>
      <c r="G25" s="96" t="s">
        <v>13</v>
      </c>
      <c r="H25" s="83"/>
      <c r="I25" s="84" t="s">
        <v>16</v>
      </c>
      <c r="J25" s="84"/>
    </row>
    <row r="26" spans="1:10" ht="15" customHeight="1" x14ac:dyDescent="0.25">
      <c r="A26" s="79">
        <f t="shared" si="1"/>
        <v>19</v>
      </c>
      <c r="B26" s="97" t="s">
        <v>49</v>
      </c>
      <c r="C26" s="107" t="s">
        <v>50</v>
      </c>
      <c r="D26" s="110" t="s">
        <v>48</v>
      </c>
      <c r="E26" s="110" t="s">
        <v>13</v>
      </c>
      <c r="F26" s="81"/>
      <c r="G26" s="96" t="s">
        <v>13</v>
      </c>
      <c r="H26" s="83"/>
      <c r="I26" s="84" t="s">
        <v>16</v>
      </c>
      <c r="J26" s="84"/>
    </row>
    <row r="27" spans="1:10" ht="15" customHeight="1" x14ac:dyDescent="0.25">
      <c r="A27" s="79">
        <f t="shared" si="1"/>
        <v>20</v>
      </c>
      <c r="B27" s="98" t="s">
        <v>51</v>
      </c>
      <c r="C27" s="100" t="s">
        <v>52</v>
      </c>
      <c r="D27" s="100" t="s">
        <v>196</v>
      </c>
      <c r="E27" s="100"/>
      <c r="F27" s="81"/>
      <c r="G27" s="96" t="s">
        <v>13</v>
      </c>
      <c r="H27" s="83"/>
      <c r="I27" s="84" t="s">
        <v>16</v>
      </c>
      <c r="J27" s="84"/>
    </row>
    <row r="28" spans="1:10" ht="15" customHeight="1" x14ac:dyDescent="0.25">
      <c r="A28" s="79">
        <f t="shared" si="1"/>
        <v>21</v>
      </c>
      <c r="B28" s="98" t="s">
        <v>53</v>
      </c>
      <c r="C28" s="100" t="s">
        <v>52</v>
      </c>
      <c r="D28" s="100" t="s">
        <v>196</v>
      </c>
      <c r="E28" s="100"/>
      <c r="F28" s="81"/>
      <c r="G28" s="96" t="s">
        <v>13</v>
      </c>
      <c r="H28" s="83"/>
      <c r="I28" s="84" t="s">
        <v>16</v>
      </c>
      <c r="J28" s="84"/>
    </row>
    <row r="29" spans="1:10" ht="15" customHeight="1" x14ac:dyDescent="0.25">
      <c r="A29" s="79">
        <f t="shared" si="1"/>
        <v>22</v>
      </c>
      <c r="B29" s="98" t="s">
        <v>54</v>
      </c>
      <c r="C29" s="100" t="s">
        <v>52</v>
      </c>
      <c r="D29" s="100" t="s">
        <v>196</v>
      </c>
      <c r="E29" s="100"/>
      <c r="F29" s="81"/>
      <c r="G29" s="96" t="s">
        <v>13</v>
      </c>
      <c r="H29" s="83"/>
      <c r="I29" s="84" t="s">
        <v>16</v>
      </c>
      <c r="J29" s="84"/>
    </row>
    <row r="30" spans="1:10" ht="15" customHeight="1" x14ac:dyDescent="0.25">
      <c r="A30" s="79">
        <f t="shared" si="1"/>
        <v>23</v>
      </c>
      <c r="B30" s="99" t="s">
        <v>55</v>
      </c>
      <c r="C30" s="100" t="s">
        <v>56</v>
      </c>
      <c r="D30" s="100" t="s">
        <v>57</v>
      </c>
      <c r="E30" s="100"/>
      <c r="F30" s="81" t="s">
        <v>13</v>
      </c>
      <c r="G30" s="82" t="s">
        <v>14</v>
      </c>
      <c r="H30" s="83" t="s">
        <v>15</v>
      </c>
      <c r="I30" s="84" t="s">
        <v>16</v>
      </c>
      <c r="J30" s="84"/>
    </row>
    <row r="31" spans="1:10" ht="15" customHeight="1" x14ac:dyDescent="0.25">
      <c r="A31" s="79">
        <f t="shared" si="1"/>
        <v>24</v>
      </c>
      <c r="B31" s="93" t="s">
        <v>58</v>
      </c>
      <c r="C31" s="100" t="s">
        <v>56</v>
      </c>
      <c r="D31" s="100" t="s">
        <v>57</v>
      </c>
      <c r="E31" s="100" t="s">
        <v>13</v>
      </c>
      <c r="F31" s="81"/>
      <c r="G31" s="82" t="s">
        <v>14</v>
      </c>
      <c r="H31" s="83" t="s">
        <v>15</v>
      </c>
      <c r="I31" s="84" t="s">
        <v>16</v>
      </c>
      <c r="J31" s="84"/>
    </row>
    <row r="32" spans="1:10" ht="15" customHeight="1" x14ac:dyDescent="0.25">
      <c r="A32" s="79">
        <f t="shared" si="1"/>
        <v>25</v>
      </c>
      <c r="B32" s="93" t="s">
        <v>59</v>
      </c>
      <c r="C32" s="110" t="s">
        <v>60</v>
      </c>
      <c r="D32" s="101"/>
      <c r="E32" s="101"/>
      <c r="F32" s="81"/>
      <c r="G32" s="102" t="s">
        <v>13</v>
      </c>
      <c r="H32" s="83"/>
      <c r="I32" s="111" t="s">
        <v>21</v>
      </c>
      <c r="J32" s="84"/>
    </row>
    <row r="33" spans="1:10" ht="15" customHeight="1" x14ac:dyDescent="0.25">
      <c r="A33" s="79">
        <f t="shared" si="1"/>
        <v>26</v>
      </c>
      <c r="B33" s="93" t="s">
        <v>61</v>
      </c>
      <c r="C33" s="110" t="s">
        <v>62</v>
      </c>
      <c r="D33" s="101" t="s">
        <v>63</v>
      </c>
      <c r="E33" s="101" t="s">
        <v>13</v>
      </c>
      <c r="F33" s="81"/>
      <c r="G33" s="82" t="s">
        <v>14</v>
      </c>
      <c r="H33" s="83" t="s">
        <v>15</v>
      </c>
      <c r="I33" s="84" t="s">
        <v>16</v>
      </c>
      <c r="J33" s="84"/>
    </row>
    <row r="34" spans="1:10" ht="15" customHeight="1" x14ac:dyDescent="0.25">
      <c r="A34" s="79">
        <f t="shared" si="1"/>
        <v>27</v>
      </c>
      <c r="B34" s="93" t="s">
        <v>64</v>
      </c>
      <c r="C34" s="110" t="s">
        <v>65</v>
      </c>
      <c r="D34" s="110" t="s">
        <v>66</v>
      </c>
      <c r="E34" s="110" t="s">
        <v>13</v>
      </c>
      <c r="F34" s="81" t="s">
        <v>13</v>
      </c>
      <c r="G34" s="103" t="s">
        <v>14</v>
      </c>
      <c r="H34" s="83" t="s">
        <v>15</v>
      </c>
      <c r="I34" s="84" t="s">
        <v>16</v>
      </c>
      <c r="J34" s="84"/>
    </row>
    <row r="35" spans="1:10" ht="15" customHeight="1" x14ac:dyDescent="0.25">
      <c r="A35" s="79">
        <f t="shared" si="1"/>
        <v>28</v>
      </c>
      <c r="B35" s="95" t="s">
        <v>67</v>
      </c>
      <c r="C35" s="100" t="s">
        <v>68</v>
      </c>
      <c r="D35" s="110" t="s">
        <v>97</v>
      </c>
      <c r="E35" s="110"/>
      <c r="F35" s="81"/>
      <c r="G35" s="82" t="s">
        <v>14</v>
      </c>
      <c r="H35" s="83" t="s">
        <v>15</v>
      </c>
      <c r="I35" s="84" t="s">
        <v>16</v>
      </c>
      <c r="J35" s="84"/>
    </row>
    <row r="36" spans="1:10" ht="15" customHeight="1" x14ac:dyDescent="0.25">
      <c r="A36" s="79">
        <f t="shared" si="1"/>
        <v>29</v>
      </c>
      <c r="B36" s="95" t="s">
        <v>69</v>
      </c>
      <c r="C36" s="100" t="s">
        <v>68</v>
      </c>
      <c r="D36" s="110" t="s">
        <v>97</v>
      </c>
      <c r="E36" s="110"/>
      <c r="F36" s="81"/>
      <c r="G36" s="82" t="s">
        <v>14</v>
      </c>
      <c r="H36" s="83" t="s">
        <v>15</v>
      </c>
      <c r="I36" s="84" t="s">
        <v>16</v>
      </c>
      <c r="J36" s="84"/>
    </row>
    <row r="37" spans="1:10" ht="15" customHeight="1" x14ac:dyDescent="0.25">
      <c r="A37" s="79">
        <f t="shared" si="1"/>
        <v>30</v>
      </c>
      <c r="B37" s="104" t="s">
        <v>70</v>
      </c>
      <c r="C37" s="100" t="s">
        <v>68</v>
      </c>
      <c r="D37" s="110" t="s">
        <v>97</v>
      </c>
      <c r="E37" s="110"/>
      <c r="F37" s="81"/>
      <c r="G37" s="82" t="s">
        <v>14</v>
      </c>
      <c r="H37" s="83" t="s">
        <v>15</v>
      </c>
      <c r="I37" s="84" t="s">
        <v>16</v>
      </c>
      <c r="J37" s="84"/>
    </row>
    <row r="38" spans="1:10" ht="15" customHeight="1" x14ac:dyDescent="0.25">
      <c r="A38" s="79">
        <f t="shared" si="1"/>
        <v>31</v>
      </c>
      <c r="B38" s="97" t="s">
        <v>71</v>
      </c>
      <c r="C38" s="110" t="s">
        <v>72</v>
      </c>
      <c r="D38" s="110" t="s">
        <v>73</v>
      </c>
      <c r="E38" s="110" t="s">
        <v>13</v>
      </c>
      <c r="F38" s="81"/>
      <c r="G38" s="96" t="s">
        <v>13</v>
      </c>
      <c r="H38" s="83"/>
      <c r="I38" s="84" t="s">
        <v>16</v>
      </c>
      <c r="J38" s="84"/>
    </row>
    <row r="39" spans="1:10" ht="15" customHeight="1" x14ac:dyDescent="0.25">
      <c r="A39" s="79">
        <f t="shared" si="1"/>
        <v>32</v>
      </c>
      <c r="B39" s="93" t="s">
        <v>74</v>
      </c>
      <c r="C39" s="110" t="s">
        <v>75</v>
      </c>
      <c r="D39" s="110" t="s">
        <v>48</v>
      </c>
      <c r="E39" s="100" t="s">
        <v>13</v>
      </c>
      <c r="F39" s="81"/>
      <c r="G39" s="96" t="s">
        <v>13</v>
      </c>
      <c r="H39" s="83"/>
      <c r="I39" s="84" t="s">
        <v>16</v>
      </c>
      <c r="J39" s="84"/>
    </row>
    <row r="40" spans="1:10" ht="15" customHeight="1" x14ac:dyDescent="0.25">
      <c r="A40" s="79">
        <f t="shared" si="1"/>
        <v>33</v>
      </c>
      <c r="B40" s="97" t="s">
        <v>76</v>
      </c>
      <c r="C40" s="110" t="s">
        <v>77</v>
      </c>
      <c r="D40" s="110" t="s">
        <v>66</v>
      </c>
      <c r="E40" s="110" t="s">
        <v>13</v>
      </c>
      <c r="F40" s="81" t="s">
        <v>13</v>
      </c>
      <c r="G40" s="82" t="s">
        <v>14</v>
      </c>
      <c r="H40" s="83" t="s">
        <v>15</v>
      </c>
      <c r="I40" s="84" t="s">
        <v>16</v>
      </c>
      <c r="J40" s="84"/>
    </row>
    <row r="41" spans="1:10" ht="15" customHeight="1" x14ac:dyDescent="0.25">
      <c r="A41" s="79">
        <f t="shared" si="1"/>
        <v>34</v>
      </c>
      <c r="B41" s="91" t="s">
        <v>78</v>
      </c>
      <c r="C41" s="100" t="s">
        <v>79</v>
      </c>
      <c r="D41" s="110" t="s">
        <v>197</v>
      </c>
      <c r="E41" s="100"/>
      <c r="F41" s="81"/>
      <c r="G41" s="96" t="s">
        <v>13</v>
      </c>
      <c r="H41" s="83"/>
      <c r="I41" s="84" t="s">
        <v>16</v>
      </c>
      <c r="J41" s="84"/>
    </row>
    <row r="42" spans="1:10" ht="15" customHeight="1" x14ac:dyDescent="0.25">
      <c r="A42" s="79">
        <f t="shared" si="1"/>
        <v>35</v>
      </c>
      <c r="B42" s="91" t="s">
        <v>80</v>
      </c>
      <c r="C42" s="100" t="s">
        <v>79</v>
      </c>
      <c r="D42" s="110" t="s">
        <v>197</v>
      </c>
      <c r="E42" s="100"/>
      <c r="F42" s="81"/>
      <c r="G42" s="102"/>
      <c r="H42" s="83"/>
      <c r="I42" s="111" t="s">
        <v>81</v>
      </c>
      <c r="J42" s="84"/>
    </row>
    <row r="43" spans="1:10" ht="15" customHeight="1" x14ac:dyDescent="0.25">
      <c r="A43" s="79">
        <f t="shared" si="1"/>
        <v>36</v>
      </c>
      <c r="B43" s="93" t="s">
        <v>82</v>
      </c>
      <c r="C43" s="100" t="s">
        <v>83</v>
      </c>
      <c r="D43" s="100" t="s">
        <v>84</v>
      </c>
      <c r="E43" s="100"/>
      <c r="F43" s="81" t="s">
        <v>13</v>
      </c>
      <c r="G43" s="102" t="s">
        <v>13</v>
      </c>
      <c r="H43" s="83"/>
      <c r="I43" s="84" t="s">
        <v>16</v>
      </c>
      <c r="J43" s="84"/>
    </row>
    <row r="44" spans="1:10" ht="15" customHeight="1" x14ac:dyDescent="0.25">
      <c r="A44" s="79">
        <f t="shared" si="1"/>
        <v>37</v>
      </c>
      <c r="B44" s="93" t="s">
        <v>85</v>
      </c>
      <c r="C44" s="100" t="s">
        <v>83</v>
      </c>
      <c r="D44" s="100" t="s">
        <v>84</v>
      </c>
      <c r="E44" s="100"/>
      <c r="F44" s="81" t="s">
        <v>13</v>
      </c>
      <c r="G44" s="102" t="s">
        <v>13</v>
      </c>
      <c r="H44" s="83"/>
      <c r="I44" s="84" t="s">
        <v>16</v>
      </c>
      <c r="J44" s="84"/>
    </row>
    <row r="45" spans="1:10" ht="15" customHeight="1" x14ac:dyDescent="0.25">
      <c r="A45" s="79">
        <f t="shared" si="1"/>
        <v>38</v>
      </c>
      <c r="B45" s="97" t="s">
        <v>86</v>
      </c>
      <c r="C45" s="100" t="s">
        <v>83</v>
      </c>
      <c r="D45" s="100" t="s">
        <v>84</v>
      </c>
      <c r="E45" s="110" t="s">
        <v>13</v>
      </c>
      <c r="F45" s="110" t="s">
        <v>13</v>
      </c>
      <c r="G45" s="82" t="s">
        <v>14</v>
      </c>
      <c r="H45" s="83" t="s">
        <v>15</v>
      </c>
      <c r="I45" s="84" t="s">
        <v>16</v>
      </c>
      <c r="J45" s="84"/>
    </row>
    <row r="46" spans="1:10" ht="15" customHeight="1" x14ac:dyDescent="0.25">
      <c r="A46" s="79">
        <f t="shared" si="1"/>
        <v>39</v>
      </c>
      <c r="B46" s="97" t="s">
        <v>87</v>
      </c>
      <c r="C46" s="100" t="s">
        <v>83</v>
      </c>
      <c r="D46" s="100" t="s">
        <v>84</v>
      </c>
      <c r="E46" s="110"/>
      <c r="F46" s="110"/>
      <c r="G46" s="82" t="s">
        <v>14</v>
      </c>
      <c r="H46" s="83" t="s">
        <v>15</v>
      </c>
      <c r="I46" s="111" t="s">
        <v>81</v>
      </c>
      <c r="J46" s="84"/>
    </row>
    <row r="47" spans="1:10" ht="15" customHeight="1" x14ac:dyDescent="0.25">
      <c r="A47" s="79">
        <f t="shared" si="1"/>
        <v>40</v>
      </c>
      <c r="B47" s="97" t="s">
        <v>88</v>
      </c>
      <c r="C47" s="110" t="s">
        <v>89</v>
      </c>
      <c r="D47" s="110" t="s">
        <v>66</v>
      </c>
      <c r="E47" s="110" t="s">
        <v>13</v>
      </c>
      <c r="F47" s="110" t="s">
        <v>13</v>
      </c>
      <c r="G47" s="82" t="s">
        <v>14</v>
      </c>
      <c r="H47" s="83" t="s">
        <v>15</v>
      </c>
      <c r="I47" s="84" t="s">
        <v>16</v>
      </c>
      <c r="J47" s="84"/>
    </row>
    <row r="48" spans="1:10" ht="15" customHeight="1" x14ac:dyDescent="0.25">
      <c r="A48" s="79">
        <f t="shared" ref="A48:A49" si="2">A46+1</f>
        <v>40</v>
      </c>
      <c r="B48" s="97" t="s">
        <v>91</v>
      </c>
      <c r="C48" s="100" t="s">
        <v>92</v>
      </c>
      <c r="D48" s="110" t="s">
        <v>41</v>
      </c>
      <c r="E48" s="110" t="s">
        <v>13</v>
      </c>
      <c r="F48" s="110" t="s">
        <v>13</v>
      </c>
      <c r="G48" s="82" t="s">
        <v>14</v>
      </c>
      <c r="H48" s="83" t="s">
        <v>15</v>
      </c>
      <c r="I48" s="84" t="s">
        <v>16</v>
      </c>
      <c r="J48" s="84"/>
    </row>
    <row r="49" spans="1:10" ht="15" customHeight="1" x14ac:dyDescent="0.25">
      <c r="A49" s="79">
        <f t="shared" si="2"/>
        <v>41</v>
      </c>
      <c r="B49" s="97" t="s">
        <v>93</v>
      </c>
      <c r="C49" s="100" t="s">
        <v>92</v>
      </c>
      <c r="D49" s="110" t="s">
        <v>41</v>
      </c>
      <c r="E49" s="110" t="s">
        <v>13</v>
      </c>
      <c r="F49" s="110" t="s">
        <v>13</v>
      </c>
      <c r="G49" s="82" t="s">
        <v>14</v>
      </c>
      <c r="H49" s="83" t="s">
        <v>15</v>
      </c>
      <c r="I49" s="111" t="s">
        <v>195</v>
      </c>
      <c r="J49" s="84" t="s">
        <v>94</v>
      </c>
    </row>
    <row r="50" spans="1:10" ht="14.25" customHeight="1" x14ac:dyDescent="0.25">
      <c r="A50" s="79">
        <f>A49+1</f>
        <v>42</v>
      </c>
      <c r="B50" s="105" t="s">
        <v>95</v>
      </c>
      <c r="C50" s="83" t="s">
        <v>96</v>
      </c>
      <c r="D50" s="110" t="s">
        <v>97</v>
      </c>
      <c r="E50" s="83" t="s">
        <v>13</v>
      </c>
      <c r="F50" s="83" t="s">
        <v>13</v>
      </c>
      <c r="G50" s="82" t="s">
        <v>14</v>
      </c>
      <c r="H50" s="83" t="s">
        <v>15</v>
      </c>
      <c r="I50" s="84" t="s">
        <v>16</v>
      </c>
      <c r="J50" s="84"/>
    </row>
    <row r="51" spans="1:10" ht="15.75" customHeight="1" x14ac:dyDescent="0.25"/>
    <row r="52" spans="1:10" ht="15.75" customHeight="1" x14ac:dyDescent="0.25"/>
    <row r="53" spans="1:10" ht="15.75" customHeight="1" x14ac:dyDescent="0.25"/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Z1003"/>
  <sheetViews>
    <sheetView workbookViewId="0"/>
  </sheetViews>
  <sheetFormatPr baseColWidth="10" defaultColWidth="14.42578125" defaultRowHeight="15" customHeight="1" x14ac:dyDescent="0.25"/>
  <cols>
    <col min="1" max="1" width="2.85546875" customWidth="1"/>
    <col min="2" max="2" width="5" customWidth="1"/>
    <col min="3" max="3" width="32.7109375" customWidth="1"/>
    <col min="4" max="4" width="23.42578125" customWidth="1"/>
    <col min="5" max="5" width="18" customWidth="1"/>
    <col min="6" max="6" width="14.28515625" customWidth="1"/>
    <col min="7" max="7" width="21.28515625" customWidth="1"/>
    <col min="8" max="8" width="15.85546875" customWidth="1"/>
    <col min="9" max="9" width="21.7109375" customWidth="1"/>
    <col min="10" max="10" width="19.42578125" customWidth="1"/>
    <col min="11" max="11" width="100.85546875" customWidth="1"/>
    <col min="12" max="12" width="71.140625" customWidth="1"/>
    <col min="13" max="13" width="84.7109375" customWidth="1"/>
  </cols>
  <sheetData>
    <row r="5" spans="2:13" ht="43.5" customHeight="1" x14ac:dyDescent="0.25">
      <c r="B5" s="1" t="s">
        <v>0</v>
      </c>
      <c r="C5" s="1" t="s">
        <v>1</v>
      </c>
      <c r="D5" s="2" t="s">
        <v>2</v>
      </c>
      <c r="E5" s="3" t="s">
        <v>3</v>
      </c>
      <c r="F5" s="3" t="s">
        <v>4</v>
      </c>
      <c r="G5" s="3" t="s">
        <v>5</v>
      </c>
      <c r="H5" s="3" t="s">
        <v>103</v>
      </c>
      <c r="I5" s="3" t="s">
        <v>104</v>
      </c>
      <c r="J5" s="3" t="s">
        <v>105</v>
      </c>
      <c r="K5" s="2" t="s">
        <v>106</v>
      </c>
      <c r="L5" s="2" t="s">
        <v>107</v>
      </c>
      <c r="M5" s="35" t="s">
        <v>108</v>
      </c>
    </row>
    <row r="6" spans="2:13" ht="15" customHeight="1" x14ac:dyDescent="0.25">
      <c r="B6" s="4">
        <v>1</v>
      </c>
      <c r="C6" s="5" t="s">
        <v>10</v>
      </c>
      <c r="D6" s="6" t="s">
        <v>11</v>
      </c>
      <c r="E6" s="7" t="s">
        <v>12</v>
      </c>
      <c r="F6" s="7" t="s">
        <v>13</v>
      </c>
      <c r="G6" s="8" t="s">
        <v>13</v>
      </c>
      <c r="H6" s="14" t="s">
        <v>13</v>
      </c>
      <c r="I6" s="36" t="s">
        <v>109</v>
      </c>
      <c r="J6" s="36" t="s">
        <v>110</v>
      </c>
      <c r="K6" s="4" t="s">
        <v>111</v>
      </c>
      <c r="L6" s="37" t="s">
        <v>112</v>
      </c>
      <c r="M6" s="38"/>
    </row>
    <row r="7" spans="2:13" ht="15" customHeight="1" x14ac:dyDescent="0.25">
      <c r="B7" s="4">
        <f>B6+1</f>
        <v>2</v>
      </c>
      <c r="C7" s="5" t="s">
        <v>17</v>
      </c>
      <c r="D7" s="6" t="s">
        <v>18</v>
      </c>
      <c r="E7" s="7" t="s">
        <v>20</v>
      </c>
      <c r="F7" s="7" t="s">
        <v>13</v>
      </c>
      <c r="G7" s="8" t="s">
        <v>13</v>
      </c>
      <c r="H7" s="14" t="s">
        <v>13</v>
      </c>
      <c r="I7" s="36" t="s">
        <v>113</v>
      </c>
      <c r="J7" s="36" t="s">
        <v>114</v>
      </c>
      <c r="K7" s="39" t="s">
        <v>115</v>
      </c>
      <c r="L7" s="4" t="s">
        <v>116</v>
      </c>
      <c r="M7" s="40"/>
    </row>
    <row r="8" spans="2:13" ht="15" customHeight="1" x14ac:dyDescent="0.25">
      <c r="B8" s="4">
        <v>3</v>
      </c>
      <c r="C8" s="5" t="s">
        <v>22</v>
      </c>
      <c r="D8" s="66" t="s">
        <v>117</v>
      </c>
      <c r="E8" s="13" t="s">
        <v>24</v>
      </c>
      <c r="F8" s="13"/>
      <c r="G8" s="8" t="s">
        <v>13</v>
      </c>
      <c r="H8" s="14" t="s">
        <v>13</v>
      </c>
      <c r="I8" s="74" t="s">
        <v>118</v>
      </c>
      <c r="J8" s="36" t="s">
        <v>119</v>
      </c>
      <c r="K8" s="4" t="s">
        <v>111</v>
      </c>
      <c r="L8" s="4"/>
      <c r="M8" s="40"/>
    </row>
    <row r="9" spans="2:13" ht="15" customHeight="1" x14ac:dyDescent="0.25">
      <c r="B9" s="4">
        <f t="shared" ref="B9:B14" si="0">B8+1</f>
        <v>4</v>
      </c>
      <c r="C9" s="15" t="s">
        <v>25</v>
      </c>
      <c r="D9" s="67"/>
      <c r="E9" s="13"/>
      <c r="F9" s="13"/>
      <c r="G9" s="8"/>
      <c r="H9" s="41"/>
      <c r="I9" s="67"/>
      <c r="J9" s="36"/>
      <c r="K9" s="4"/>
      <c r="L9" s="4"/>
      <c r="M9" s="42"/>
    </row>
    <row r="10" spans="2:13" ht="15" customHeight="1" x14ac:dyDescent="0.25">
      <c r="B10" s="4">
        <f t="shared" si="0"/>
        <v>5</v>
      </c>
      <c r="C10" s="15" t="s">
        <v>26</v>
      </c>
      <c r="D10" s="68"/>
      <c r="E10" s="13"/>
      <c r="F10" s="13" t="s">
        <v>13</v>
      </c>
      <c r="G10" s="8"/>
      <c r="H10" s="41"/>
      <c r="I10" s="68"/>
      <c r="J10" s="36"/>
      <c r="K10" s="4"/>
      <c r="L10" s="4"/>
      <c r="M10" s="42"/>
    </row>
    <row r="11" spans="2:13" ht="15" customHeight="1" x14ac:dyDescent="0.25">
      <c r="B11" s="4">
        <f t="shared" si="0"/>
        <v>6</v>
      </c>
      <c r="C11" s="5" t="s">
        <v>31</v>
      </c>
      <c r="D11" s="75" t="s">
        <v>32</v>
      </c>
      <c r="E11" s="65" t="s">
        <v>33</v>
      </c>
      <c r="F11" s="13"/>
      <c r="G11" s="8" t="s">
        <v>13</v>
      </c>
      <c r="H11" s="14" t="s">
        <v>13</v>
      </c>
      <c r="I11" s="36" t="s">
        <v>120</v>
      </c>
      <c r="J11" s="27" t="s">
        <v>114</v>
      </c>
      <c r="K11" s="4" t="s">
        <v>111</v>
      </c>
      <c r="L11" s="4"/>
      <c r="M11" s="42"/>
    </row>
    <row r="12" spans="2:13" ht="15" customHeight="1" x14ac:dyDescent="0.25">
      <c r="B12" s="4">
        <f t="shared" si="0"/>
        <v>7</v>
      </c>
      <c r="C12" s="16" t="s">
        <v>34</v>
      </c>
      <c r="D12" s="68"/>
      <c r="E12" s="67"/>
      <c r="F12" s="17" t="s">
        <v>13</v>
      </c>
      <c r="G12" s="8"/>
      <c r="H12" s="4"/>
      <c r="I12" s="43"/>
      <c r="J12" s="27" t="s">
        <v>121</v>
      </c>
      <c r="K12" s="4"/>
      <c r="L12" s="4"/>
      <c r="M12" s="42"/>
    </row>
    <row r="13" spans="2:13" ht="15" customHeight="1" x14ac:dyDescent="0.25">
      <c r="B13" s="4">
        <f t="shared" si="0"/>
        <v>8</v>
      </c>
      <c r="C13" s="16" t="s">
        <v>36</v>
      </c>
      <c r="D13" s="66" t="s">
        <v>37</v>
      </c>
      <c r="E13" s="76" t="s">
        <v>33</v>
      </c>
      <c r="F13" s="17"/>
      <c r="G13" s="8" t="s">
        <v>13</v>
      </c>
      <c r="H13" s="27" t="s">
        <v>13</v>
      </c>
      <c r="I13" s="73" t="s">
        <v>120</v>
      </c>
      <c r="J13" s="27"/>
      <c r="K13" s="4" t="s">
        <v>111</v>
      </c>
      <c r="L13" s="4"/>
      <c r="M13" s="42"/>
    </row>
    <row r="14" spans="2:13" ht="15" customHeight="1" x14ac:dyDescent="0.25">
      <c r="B14" s="4">
        <f t="shared" si="0"/>
        <v>9</v>
      </c>
      <c r="C14" s="16" t="s">
        <v>38</v>
      </c>
      <c r="D14" s="68"/>
      <c r="E14" s="68"/>
      <c r="F14" s="17"/>
      <c r="G14" s="8" t="s">
        <v>13</v>
      </c>
      <c r="H14" s="27" t="s">
        <v>13</v>
      </c>
      <c r="I14" s="68"/>
      <c r="J14" s="27" t="s">
        <v>122</v>
      </c>
      <c r="K14" s="4" t="s">
        <v>111</v>
      </c>
      <c r="L14" s="4"/>
      <c r="M14" s="42"/>
    </row>
    <row r="15" spans="2:13" ht="15" customHeight="1" x14ac:dyDescent="0.25">
      <c r="B15" s="4">
        <v>10</v>
      </c>
      <c r="C15" s="16" t="s">
        <v>39</v>
      </c>
      <c r="D15" s="66" t="s">
        <v>40</v>
      </c>
      <c r="E15" s="65" t="s">
        <v>41</v>
      </c>
      <c r="F15" s="13"/>
      <c r="G15" s="8" t="s">
        <v>13</v>
      </c>
      <c r="H15" s="27" t="s">
        <v>13</v>
      </c>
      <c r="I15" s="73" t="s">
        <v>123</v>
      </c>
      <c r="J15" s="73" t="s">
        <v>124</v>
      </c>
      <c r="K15" s="44" t="s">
        <v>125</v>
      </c>
      <c r="L15" s="44"/>
      <c r="M15" s="45"/>
    </row>
    <row r="16" spans="2:13" ht="15" customHeight="1" x14ac:dyDescent="0.25">
      <c r="B16" s="4">
        <f t="shared" ref="B16:B43" si="1">B15+1</f>
        <v>11</v>
      </c>
      <c r="C16" s="16" t="s">
        <v>42</v>
      </c>
      <c r="D16" s="68"/>
      <c r="E16" s="67"/>
      <c r="F16" s="13" t="s">
        <v>13</v>
      </c>
      <c r="G16" s="8" t="s">
        <v>13</v>
      </c>
      <c r="H16" s="27" t="s">
        <v>13</v>
      </c>
      <c r="I16" s="68"/>
      <c r="J16" s="68"/>
      <c r="K16" s="44" t="s">
        <v>125</v>
      </c>
      <c r="L16" s="44"/>
      <c r="M16" s="45"/>
    </row>
    <row r="17" spans="1:26" ht="15" customHeight="1" x14ac:dyDescent="0.25">
      <c r="B17" s="4">
        <f t="shared" si="1"/>
        <v>12</v>
      </c>
      <c r="C17" s="21" t="s">
        <v>126</v>
      </c>
      <c r="D17" s="66" t="s">
        <v>44</v>
      </c>
      <c r="E17" s="65" t="s">
        <v>127</v>
      </c>
      <c r="F17" s="13"/>
      <c r="G17" s="8"/>
      <c r="H17" s="14"/>
      <c r="I17" s="8"/>
      <c r="J17" s="46"/>
      <c r="K17" s="4" t="s">
        <v>128</v>
      </c>
      <c r="L17" s="4"/>
      <c r="M17" s="42"/>
    </row>
    <row r="18" spans="1:26" ht="15" customHeight="1" x14ac:dyDescent="0.25">
      <c r="B18" s="4">
        <f t="shared" si="1"/>
        <v>13</v>
      </c>
      <c r="C18" s="19" t="s">
        <v>43</v>
      </c>
      <c r="D18" s="67"/>
      <c r="E18" s="67"/>
      <c r="F18" s="20"/>
      <c r="G18" s="8"/>
      <c r="H18" s="14" t="s">
        <v>13</v>
      </c>
      <c r="I18" s="71"/>
      <c r="J18" s="46" t="s">
        <v>110</v>
      </c>
      <c r="K18" s="47" t="s">
        <v>129</v>
      </c>
      <c r="L18" s="4"/>
      <c r="M18" s="42"/>
    </row>
    <row r="19" spans="1:26" ht="15" customHeight="1" x14ac:dyDescent="0.25">
      <c r="B19" s="4">
        <f t="shared" si="1"/>
        <v>14</v>
      </c>
      <c r="C19" s="19" t="s">
        <v>45</v>
      </c>
      <c r="D19" s="68"/>
      <c r="E19" s="68"/>
      <c r="F19" s="20" t="s">
        <v>13</v>
      </c>
      <c r="G19" s="8" t="s">
        <v>13</v>
      </c>
      <c r="H19" s="44"/>
      <c r="I19" s="68"/>
      <c r="J19" s="46" t="s">
        <v>130</v>
      </c>
      <c r="K19" s="4" t="s">
        <v>111</v>
      </c>
      <c r="L19" s="4"/>
      <c r="M19" s="42"/>
    </row>
    <row r="20" spans="1:26" ht="15" customHeight="1" x14ac:dyDescent="0.25">
      <c r="B20" s="4">
        <f t="shared" si="1"/>
        <v>15</v>
      </c>
      <c r="C20" s="19" t="s">
        <v>46</v>
      </c>
      <c r="D20" s="6" t="s">
        <v>47</v>
      </c>
      <c r="E20" s="20" t="s">
        <v>48</v>
      </c>
      <c r="F20" s="20" t="s">
        <v>13</v>
      </c>
      <c r="G20" s="8"/>
      <c r="H20" s="27" t="s">
        <v>13</v>
      </c>
      <c r="I20" s="27" t="s">
        <v>131</v>
      </c>
      <c r="J20" s="27" t="s">
        <v>132</v>
      </c>
      <c r="K20" s="39" t="s">
        <v>133</v>
      </c>
      <c r="L20" s="4"/>
      <c r="M20" s="42"/>
    </row>
    <row r="21" spans="1:26" ht="15" customHeight="1" x14ac:dyDescent="0.25">
      <c r="B21" s="4">
        <f t="shared" si="1"/>
        <v>16</v>
      </c>
      <c r="C21" s="48" t="s">
        <v>134</v>
      </c>
      <c r="D21" s="24" t="s">
        <v>50</v>
      </c>
      <c r="E21" s="20" t="s">
        <v>135</v>
      </c>
      <c r="F21" s="20" t="s">
        <v>13</v>
      </c>
      <c r="G21" s="8"/>
      <c r="H21" s="27" t="s">
        <v>13</v>
      </c>
      <c r="I21" s="27" t="s">
        <v>136</v>
      </c>
      <c r="J21" s="27" t="s">
        <v>124</v>
      </c>
      <c r="K21" s="39" t="s">
        <v>137</v>
      </c>
      <c r="L21" s="4"/>
      <c r="M21" s="42"/>
    </row>
    <row r="22" spans="1:26" ht="15" customHeight="1" x14ac:dyDescent="0.25">
      <c r="B22" s="4">
        <f t="shared" si="1"/>
        <v>17</v>
      </c>
      <c r="C22" s="22" t="s">
        <v>51</v>
      </c>
      <c r="D22" s="66" t="s">
        <v>52</v>
      </c>
      <c r="E22" s="65" t="s">
        <v>138</v>
      </c>
      <c r="F22" s="13" t="s">
        <v>13</v>
      </c>
      <c r="G22" s="8" t="s">
        <v>13</v>
      </c>
      <c r="H22" s="18" t="s">
        <v>13</v>
      </c>
      <c r="I22" s="69" t="s">
        <v>139</v>
      </c>
      <c r="J22" s="46"/>
      <c r="K22" s="4" t="s">
        <v>111</v>
      </c>
      <c r="L22" s="4"/>
      <c r="M22" s="42"/>
    </row>
    <row r="23" spans="1:26" ht="15" customHeight="1" x14ac:dyDescent="0.25">
      <c r="B23" s="4">
        <f t="shared" si="1"/>
        <v>18</v>
      </c>
      <c r="C23" s="22" t="s">
        <v>53</v>
      </c>
      <c r="D23" s="67"/>
      <c r="E23" s="67"/>
      <c r="F23" s="13"/>
      <c r="G23" s="8"/>
      <c r="H23" s="18" t="s">
        <v>13</v>
      </c>
      <c r="I23" s="67"/>
      <c r="J23" s="46"/>
      <c r="K23" s="4" t="s">
        <v>111</v>
      </c>
      <c r="L23" s="4"/>
      <c r="M23" s="42"/>
    </row>
    <row r="24" spans="1:26" ht="15" customHeight="1" x14ac:dyDescent="0.25">
      <c r="B24" s="4">
        <f t="shared" si="1"/>
        <v>19</v>
      </c>
      <c r="C24" s="22" t="s">
        <v>140</v>
      </c>
      <c r="D24" s="68"/>
      <c r="E24" s="67"/>
      <c r="F24" s="13"/>
      <c r="G24" s="8"/>
      <c r="H24" s="18" t="s">
        <v>13</v>
      </c>
      <c r="I24" s="68"/>
      <c r="J24" s="46"/>
      <c r="K24" s="4" t="s">
        <v>111</v>
      </c>
      <c r="L24" s="4"/>
      <c r="M24" s="42"/>
    </row>
    <row r="25" spans="1:26" ht="15" customHeight="1" x14ac:dyDescent="0.25">
      <c r="B25" s="4">
        <f t="shared" si="1"/>
        <v>20</v>
      </c>
      <c r="C25" s="22" t="s">
        <v>55</v>
      </c>
      <c r="D25" s="66" t="s">
        <v>56</v>
      </c>
      <c r="E25" s="65" t="s">
        <v>57</v>
      </c>
      <c r="F25" s="13"/>
      <c r="G25" s="8" t="s">
        <v>13</v>
      </c>
      <c r="H25" s="27" t="s">
        <v>13</v>
      </c>
      <c r="I25" s="70" t="s">
        <v>122</v>
      </c>
      <c r="J25" s="27" t="s">
        <v>122</v>
      </c>
      <c r="K25" s="4" t="s">
        <v>111</v>
      </c>
      <c r="L25" s="4"/>
      <c r="M25" s="42"/>
    </row>
    <row r="26" spans="1:26" ht="15" customHeight="1" x14ac:dyDescent="0.25">
      <c r="B26" s="4">
        <f t="shared" si="1"/>
        <v>21</v>
      </c>
      <c r="C26" s="49" t="s">
        <v>58</v>
      </c>
      <c r="D26" s="68"/>
      <c r="E26" s="67"/>
      <c r="F26" s="23" t="s">
        <v>13</v>
      </c>
      <c r="G26" s="8"/>
      <c r="H26" s="4"/>
      <c r="I26" s="68"/>
      <c r="J26" s="27" t="s">
        <v>141</v>
      </c>
      <c r="K26" s="4"/>
      <c r="L26" s="4"/>
      <c r="M26" s="42"/>
    </row>
    <row r="27" spans="1:26" ht="15" customHeight="1" x14ac:dyDescent="0.25">
      <c r="A27" s="9"/>
      <c r="B27" s="10">
        <f t="shared" si="1"/>
        <v>22</v>
      </c>
      <c r="C27" s="50" t="s">
        <v>59</v>
      </c>
      <c r="D27" s="51" t="s">
        <v>60</v>
      </c>
      <c r="E27" s="52"/>
      <c r="F27" s="52"/>
      <c r="G27" s="11"/>
      <c r="H27" s="26"/>
      <c r="I27" s="46" t="s">
        <v>142</v>
      </c>
      <c r="J27" s="46"/>
      <c r="K27" s="10" t="s">
        <v>111</v>
      </c>
      <c r="L27" s="10"/>
      <c r="M27" s="42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6.75" customHeight="1" x14ac:dyDescent="0.25">
      <c r="B28" s="4">
        <f t="shared" si="1"/>
        <v>23</v>
      </c>
      <c r="C28" s="53" t="s">
        <v>61</v>
      </c>
      <c r="D28" s="24" t="s">
        <v>62</v>
      </c>
      <c r="E28" s="54" t="s">
        <v>63</v>
      </c>
      <c r="F28" s="25" t="s">
        <v>13</v>
      </c>
      <c r="G28" s="8"/>
      <c r="H28" s="27" t="s">
        <v>13</v>
      </c>
      <c r="I28" s="27" t="s">
        <v>136</v>
      </c>
      <c r="J28" s="27" t="s">
        <v>124</v>
      </c>
      <c r="K28" s="39" t="s">
        <v>143</v>
      </c>
      <c r="L28" s="4"/>
      <c r="M28" s="42"/>
    </row>
    <row r="29" spans="1:26" ht="15" customHeight="1" x14ac:dyDescent="0.25">
      <c r="B29" s="4">
        <f t="shared" si="1"/>
        <v>24</v>
      </c>
      <c r="C29" s="16" t="s">
        <v>64</v>
      </c>
      <c r="D29" s="24" t="s">
        <v>65</v>
      </c>
      <c r="E29" s="20" t="s">
        <v>66</v>
      </c>
      <c r="F29" s="20" t="s">
        <v>13</v>
      </c>
      <c r="G29" s="8" t="s">
        <v>13</v>
      </c>
      <c r="H29" s="27" t="s">
        <v>13</v>
      </c>
      <c r="I29" s="27" t="s">
        <v>110</v>
      </c>
      <c r="J29" s="27" t="s">
        <v>110</v>
      </c>
      <c r="K29" s="4" t="s">
        <v>111</v>
      </c>
      <c r="L29" s="4"/>
      <c r="M29" s="42"/>
    </row>
    <row r="30" spans="1:26" ht="15" customHeight="1" x14ac:dyDescent="0.25">
      <c r="B30" s="4">
        <f t="shared" si="1"/>
        <v>25</v>
      </c>
      <c r="C30" s="55" t="s">
        <v>67</v>
      </c>
      <c r="D30" s="66" t="s">
        <v>68</v>
      </c>
      <c r="E30" s="65" t="s">
        <v>97</v>
      </c>
      <c r="F30" s="20"/>
      <c r="G30" s="8"/>
      <c r="H30" s="27"/>
      <c r="I30" s="71" t="s">
        <v>124</v>
      </c>
      <c r="J30" s="71" t="s">
        <v>130</v>
      </c>
      <c r="K30" s="39"/>
      <c r="L30" s="4" t="s">
        <v>144</v>
      </c>
      <c r="M30" s="42"/>
    </row>
    <row r="31" spans="1:26" ht="15" customHeight="1" x14ac:dyDescent="0.25">
      <c r="B31" s="4">
        <f t="shared" si="1"/>
        <v>26</v>
      </c>
      <c r="C31" s="55" t="s">
        <v>145</v>
      </c>
      <c r="D31" s="67"/>
      <c r="E31" s="67"/>
      <c r="F31" s="20" t="s">
        <v>13</v>
      </c>
      <c r="G31" s="8" t="s">
        <v>13</v>
      </c>
      <c r="H31" s="27"/>
      <c r="I31" s="67"/>
      <c r="J31" s="67"/>
      <c r="K31" s="39" t="s">
        <v>146</v>
      </c>
      <c r="L31" s="4"/>
      <c r="M31" s="42"/>
    </row>
    <row r="32" spans="1:26" ht="15" customHeight="1" x14ac:dyDescent="0.25">
      <c r="B32" s="4">
        <f t="shared" si="1"/>
        <v>27</v>
      </c>
      <c r="C32" s="55" t="s">
        <v>69</v>
      </c>
      <c r="D32" s="68"/>
      <c r="E32" s="68"/>
      <c r="F32" s="20"/>
      <c r="G32" s="8"/>
      <c r="H32" s="27" t="s">
        <v>13</v>
      </c>
      <c r="I32" s="68"/>
      <c r="J32" s="68"/>
      <c r="K32" s="39"/>
      <c r="L32" s="4"/>
      <c r="M32" s="42"/>
    </row>
    <row r="33" spans="2:13" ht="15" customHeight="1" x14ac:dyDescent="0.25">
      <c r="B33" s="4">
        <f t="shared" si="1"/>
        <v>28</v>
      </c>
      <c r="C33" s="19" t="s">
        <v>71</v>
      </c>
      <c r="D33" s="24" t="s">
        <v>72</v>
      </c>
      <c r="E33" s="20" t="s">
        <v>73</v>
      </c>
      <c r="F33" s="20" t="s">
        <v>13</v>
      </c>
      <c r="G33" s="8"/>
      <c r="H33" s="27" t="s">
        <v>13</v>
      </c>
      <c r="I33" s="36" t="s">
        <v>147</v>
      </c>
      <c r="J33" s="36" t="s">
        <v>132</v>
      </c>
      <c r="K33" s="39" t="s">
        <v>148</v>
      </c>
      <c r="L33" s="4"/>
      <c r="M33" s="42"/>
    </row>
    <row r="34" spans="2:13" ht="15" customHeight="1" x14ac:dyDescent="0.25">
      <c r="B34" s="4">
        <f t="shared" si="1"/>
        <v>29</v>
      </c>
      <c r="C34" s="15" t="s">
        <v>74</v>
      </c>
      <c r="D34" s="24" t="s">
        <v>75</v>
      </c>
      <c r="E34" s="20" t="s">
        <v>48</v>
      </c>
      <c r="F34" s="13" t="s">
        <v>13</v>
      </c>
      <c r="G34" s="8"/>
      <c r="H34" s="27" t="s">
        <v>13</v>
      </c>
      <c r="I34" s="43" t="s">
        <v>131</v>
      </c>
      <c r="J34" s="43" t="s">
        <v>132</v>
      </c>
      <c r="K34" s="39" t="s">
        <v>149</v>
      </c>
      <c r="L34" s="4"/>
      <c r="M34" s="42"/>
    </row>
    <row r="35" spans="2:13" ht="15" customHeight="1" x14ac:dyDescent="0.25">
      <c r="B35" s="4">
        <f t="shared" si="1"/>
        <v>30</v>
      </c>
      <c r="C35" s="19" t="s">
        <v>76</v>
      </c>
      <c r="D35" s="24" t="s">
        <v>77</v>
      </c>
      <c r="E35" s="20" t="s">
        <v>66</v>
      </c>
      <c r="F35" s="20" t="s">
        <v>13</v>
      </c>
      <c r="G35" s="8" t="s">
        <v>13</v>
      </c>
      <c r="H35" s="27" t="s">
        <v>13</v>
      </c>
      <c r="I35" s="27" t="s">
        <v>110</v>
      </c>
      <c r="J35" s="27" t="s">
        <v>110</v>
      </c>
      <c r="K35" s="39" t="s">
        <v>150</v>
      </c>
      <c r="L35" s="56" t="s">
        <v>151</v>
      </c>
      <c r="M35" s="45"/>
    </row>
    <row r="36" spans="2:13" ht="15" customHeight="1" x14ac:dyDescent="0.25">
      <c r="B36" s="4">
        <f t="shared" si="1"/>
        <v>31</v>
      </c>
      <c r="C36" s="12" t="s">
        <v>78</v>
      </c>
      <c r="D36" s="24" t="s">
        <v>152</v>
      </c>
      <c r="E36" s="20" t="s">
        <v>66</v>
      </c>
      <c r="F36" s="13"/>
      <c r="G36" s="8"/>
      <c r="H36" s="18"/>
      <c r="I36" s="18" t="s">
        <v>110</v>
      </c>
      <c r="J36" s="46"/>
      <c r="K36" s="4"/>
      <c r="L36" s="4"/>
      <c r="M36" s="42"/>
    </row>
    <row r="37" spans="2:13" ht="15" customHeight="1" x14ac:dyDescent="0.25">
      <c r="B37" s="4">
        <f t="shared" si="1"/>
        <v>32</v>
      </c>
      <c r="C37" s="57" t="s">
        <v>82</v>
      </c>
      <c r="D37" s="66" t="s">
        <v>83</v>
      </c>
      <c r="E37" s="65" t="s">
        <v>84</v>
      </c>
      <c r="F37" s="13"/>
      <c r="G37" s="8" t="s">
        <v>13</v>
      </c>
      <c r="H37" s="26" t="s">
        <v>13</v>
      </c>
      <c r="I37" s="72" t="s">
        <v>153</v>
      </c>
      <c r="J37" s="46" t="s">
        <v>120</v>
      </c>
      <c r="K37" s="4" t="s">
        <v>111</v>
      </c>
      <c r="L37" s="4"/>
      <c r="M37" s="42"/>
    </row>
    <row r="38" spans="2:13" ht="15" customHeight="1" x14ac:dyDescent="0.25">
      <c r="B38" s="4">
        <f t="shared" si="1"/>
        <v>33</v>
      </c>
      <c r="C38" s="57" t="s">
        <v>85</v>
      </c>
      <c r="D38" s="67"/>
      <c r="E38" s="67"/>
      <c r="F38" s="13"/>
      <c r="G38" s="8" t="s">
        <v>13</v>
      </c>
      <c r="H38" s="26" t="s">
        <v>13</v>
      </c>
      <c r="I38" s="67"/>
      <c r="J38" s="46" t="s">
        <v>154</v>
      </c>
      <c r="K38" s="4" t="s">
        <v>111</v>
      </c>
      <c r="L38" s="4"/>
      <c r="M38" s="42"/>
    </row>
    <row r="39" spans="2:13" ht="15" customHeight="1" x14ac:dyDescent="0.25">
      <c r="B39" s="4">
        <f t="shared" si="1"/>
        <v>34</v>
      </c>
      <c r="C39" s="19" t="s">
        <v>86</v>
      </c>
      <c r="D39" s="67"/>
      <c r="E39" s="67"/>
      <c r="F39" s="20" t="s">
        <v>13</v>
      </c>
      <c r="G39" s="20" t="s">
        <v>13</v>
      </c>
      <c r="H39" s="27" t="s">
        <v>13</v>
      </c>
      <c r="I39" s="67"/>
      <c r="J39" s="46" t="s">
        <v>122</v>
      </c>
      <c r="K39" s="4" t="s">
        <v>111</v>
      </c>
      <c r="L39" s="4"/>
      <c r="M39" s="42"/>
    </row>
    <row r="40" spans="2:13" ht="15" customHeight="1" x14ac:dyDescent="0.25">
      <c r="B40" s="4">
        <f t="shared" si="1"/>
        <v>35</v>
      </c>
      <c r="C40" s="19" t="s">
        <v>155</v>
      </c>
      <c r="D40" s="68"/>
      <c r="E40" s="68"/>
      <c r="F40" s="20"/>
      <c r="G40" s="20"/>
      <c r="H40" s="27" t="s">
        <v>13</v>
      </c>
      <c r="I40" s="68"/>
      <c r="J40" s="27"/>
      <c r="K40" s="4"/>
      <c r="L40" s="4"/>
      <c r="M40" s="42"/>
    </row>
    <row r="41" spans="2:13" ht="15" customHeight="1" x14ac:dyDescent="0.25">
      <c r="B41" s="4">
        <f t="shared" si="1"/>
        <v>36</v>
      </c>
      <c r="C41" s="19" t="s">
        <v>88</v>
      </c>
      <c r="D41" s="24" t="s">
        <v>89</v>
      </c>
      <c r="E41" s="20" t="s">
        <v>90</v>
      </c>
      <c r="F41" s="20" t="s">
        <v>13</v>
      </c>
      <c r="G41" s="20" t="s">
        <v>13</v>
      </c>
      <c r="H41" s="27" t="s">
        <v>13</v>
      </c>
      <c r="I41" s="27" t="s">
        <v>156</v>
      </c>
      <c r="J41" s="27" t="s">
        <v>110</v>
      </c>
      <c r="K41" s="4" t="s">
        <v>111</v>
      </c>
      <c r="L41" s="4"/>
      <c r="M41" s="42"/>
    </row>
    <row r="42" spans="2:13" ht="15" customHeight="1" x14ac:dyDescent="0.25">
      <c r="B42" s="4">
        <f t="shared" si="1"/>
        <v>37</v>
      </c>
      <c r="C42" s="19" t="s">
        <v>91</v>
      </c>
      <c r="D42" s="24" t="s">
        <v>92</v>
      </c>
      <c r="E42" s="20" t="s">
        <v>41</v>
      </c>
      <c r="F42" s="20" t="s">
        <v>13</v>
      </c>
      <c r="G42" s="20" t="s">
        <v>13</v>
      </c>
      <c r="H42" s="27" t="s">
        <v>13</v>
      </c>
      <c r="I42" s="27" t="s">
        <v>157</v>
      </c>
      <c r="J42" s="27" t="s">
        <v>132</v>
      </c>
      <c r="K42" s="4" t="s">
        <v>111</v>
      </c>
      <c r="L42" s="4"/>
      <c r="M42" s="42"/>
    </row>
    <row r="43" spans="2:13" ht="15" customHeight="1" x14ac:dyDescent="0.25">
      <c r="B43" s="4">
        <f t="shared" si="1"/>
        <v>38</v>
      </c>
      <c r="C43" s="28" t="s">
        <v>95</v>
      </c>
      <c r="D43" s="29" t="s">
        <v>96</v>
      </c>
      <c r="E43" s="20" t="s">
        <v>97</v>
      </c>
      <c r="F43" s="30" t="s">
        <v>13</v>
      </c>
      <c r="G43" s="30" t="s">
        <v>13</v>
      </c>
      <c r="H43" s="27" t="s">
        <v>13</v>
      </c>
      <c r="I43" s="27" t="s">
        <v>124</v>
      </c>
      <c r="J43" s="27" t="s">
        <v>158</v>
      </c>
      <c r="K43" s="4" t="s">
        <v>111</v>
      </c>
      <c r="L43" s="4"/>
      <c r="M43" s="42"/>
    </row>
    <row r="44" spans="2:13" ht="15.75" customHeight="1" x14ac:dyDescent="0.25">
      <c r="D44" s="29" t="s">
        <v>159</v>
      </c>
      <c r="M44" s="9"/>
    </row>
    <row r="45" spans="2:13" ht="15.75" customHeight="1" x14ac:dyDescent="0.25">
      <c r="D45" s="29" t="s">
        <v>160</v>
      </c>
      <c r="M45" s="9"/>
    </row>
    <row r="46" spans="2:13" ht="15.75" customHeight="1" x14ac:dyDescent="0.25">
      <c r="D46" s="29" t="s">
        <v>60</v>
      </c>
      <c r="M46" s="9"/>
    </row>
    <row r="47" spans="2:13" ht="15.75" customHeight="1" x14ac:dyDescent="0.25">
      <c r="M47" s="9"/>
    </row>
    <row r="48" spans="2:13" ht="15.75" customHeight="1" x14ac:dyDescent="0.25">
      <c r="M48" s="9"/>
    </row>
    <row r="49" spans="13:13" ht="15.75" customHeight="1" x14ac:dyDescent="0.25">
      <c r="M49" s="9"/>
    </row>
    <row r="50" spans="13:13" ht="15.75" customHeight="1" x14ac:dyDescent="0.25">
      <c r="M50" s="9"/>
    </row>
    <row r="51" spans="13:13" ht="15.75" customHeight="1" x14ac:dyDescent="0.25">
      <c r="M51" s="9"/>
    </row>
    <row r="52" spans="13:13" ht="15.75" customHeight="1" x14ac:dyDescent="0.25">
      <c r="M52" s="9"/>
    </row>
    <row r="53" spans="13:13" ht="15.75" customHeight="1" x14ac:dyDescent="0.25">
      <c r="M53" s="9"/>
    </row>
    <row r="54" spans="13:13" ht="15.75" customHeight="1" x14ac:dyDescent="0.25">
      <c r="M54" s="9"/>
    </row>
    <row r="55" spans="13:13" ht="15.75" customHeight="1" x14ac:dyDescent="0.25">
      <c r="M55" s="9"/>
    </row>
    <row r="56" spans="13:13" ht="15.75" customHeight="1" x14ac:dyDescent="0.25">
      <c r="M56" s="9"/>
    </row>
    <row r="57" spans="13:13" ht="15.75" customHeight="1" x14ac:dyDescent="0.25">
      <c r="M57" s="9"/>
    </row>
    <row r="58" spans="13:13" ht="15.75" customHeight="1" x14ac:dyDescent="0.25">
      <c r="M58" s="9"/>
    </row>
    <row r="59" spans="13:13" ht="15.75" customHeight="1" x14ac:dyDescent="0.25">
      <c r="M59" s="9"/>
    </row>
    <row r="60" spans="13:13" ht="15.75" customHeight="1" x14ac:dyDescent="0.25">
      <c r="M60" s="9"/>
    </row>
    <row r="61" spans="13:13" ht="15.75" customHeight="1" x14ac:dyDescent="0.25">
      <c r="M61" s="9"/>
    </row>
    <row r="62" spans="13:13" ht="15.75" customHeight="1" x14ac:dyDescent="0.25">
      <c r="M62" s="9"/>
    </row>
    <row r="63" spans="13:13" ht="15.75" customHeight="1" x14ac:dyDescent="0.25">
      <c r="M63" s="9"/>
    </row>
    <row r="64" spans="13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7">
    <mergeCell ref="D8:D10"/>
    <mergeCell ref="I8:I10"/>
    <mergeCell ref="D11:D12"/>
    <mergeCell ref="E11:E12"/>
    <mergeCell ref="D13:D14"/>
    <mergeCell ref="E13:E14"/>
    <mergeCell ref="I13:I14"/>
    <mergeCell ref="D15:D16"/>
    <mergeCell ref="E15:E16"/>
    <mergeCell ref="I15:I16"/>
    <mergeCell ref="J15:J16"/>
    <mergeCell ref="D17:D19"/>
    <mergeCell ref="E17:E19"/>
    <mergeCell ref="I18:I19"/>
    <mergeCell ref="I30:I32"/>
    <mergeCell ref="J30:J32"/>
    <mergeCell ref="D37:D40"/>
    <mergeCell ref="E37:E40"/>
    <mergeCell ref="I37:I40"/>
    <mergeCell ref="D30:D32"/>
    <mergeCell ref="E30:E32"/>
    <mergeCell ref="D22:D24"/>
    <mergeCell ref="E22:E24"/>
    <mergeCell ref="I22:I24"/>
    <mergeCell ref="D25:D26"/>
    <mergeCell ref="E25:E26"/>
    <mergeCell ref="I25:I26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O1001"/>
  <sheetViews>
    <sheetView workbookViewId="0"/>
  </sheetViews>
  <sheetFormatPr baseColWidth="10" defaultColWidth="14.42578125" defaultRowHeight="15" customHeight="1" x14ac:dyDescent="0.25"/>
  <cols>
    <col min="1" max="1" width="2.85546875" customWidth="1"/>
    <col min="2" max="2" width="5" customWidth="1"/>
    <col min="3" max="3" width="39.28515625" customWidth="1"/>
    <col min="4" max="4" width="26.5703125" customWidth="1"/>
    <col min="5" max="5" width="32.140625" hidden="1" customWidth="1"/>
    <col min="6" max="6" width="16.42578125" hidden="1" customWidth="1"/>
    <col min="7" max="7" width="16.5703125" hidden="1" customWidth="1"/>
    <col min="8" max="10" width="15.85546875" customWidth="1"/>
    <col min="11" max="11" width="121.42578125" customWidth="1"/>
    <col min="12" max="12" width="84.7109375" customWidth="1"/>
    <col min="13" max="13" width="34.42578125" customWidth="1"/>
    <col min="14" max="14" width="33.140625" customWidth="1"/>
    <col min="15" max="15" width="36.5703125" customWidth="1"/>
    <col min="16" max="33" width="10.7109375" customWidth="1"/>
  </cols>
  <sheetData>
    <row r="5" spans="2:15" ht="43.5" customHeight="1" x14ac:dyDescent="0.25">
      <c r="B5" s="1" t="s">
        <v>0</v>
      </c>
      <c r="C5" s="1" t="s">
        <v>1</v>
      </c>
      <c r="D5" s="2" t="s">
        <v>2</v>
      </c>
      <c r="E5" s="3" t="s">
        <v>3</v>
      </c>
      <c r="F5" s="3" t="s">
        <v>4</v>
      </c>
      <c r="G5" s="3" t="s">
        <v>5</v>
      </c>
      <c r="H5" s="3" t="s">
        <v>103</v>
      </c>
      <c r="I5" s="3" t="s">
        <v>104</v>
      </c>
      <c r="J5" s="3" t="s">
        <v>105</v>
      </c>
      <c r="K5" s="2" t="s">
        <v>106</v>
      </c>
      <c r="L5" s="2" t="s">
        <v>107</v>
      </c>
      <c r="M5" s="2" t="s">
        <v>161</v>
      </c>
      <c r="N5" s="2" t="s">
        <v>162</v>
      </c>
      <c r="O5" s="2" t="s">
        <v>108</v>
      </c>
    </row>
    <row r="6" spans="2:15" ht="15" customHeight="1" x14ac:dyDescent="0.25">
      <c r="B6" s="4">
        <v>1</v>
      </c>
      <c r="C6" s="5" t="s">
        <v>10</v>
      </c>
      <c r="D6" s="6" t="s">
        <v>11</v>
      </c>
      <c r="E6" s="7" t="s">
        <v>12</v>
      </c>
      <c r="F6" s="7" t="s">
        <v>13</v>
      </c>
      <c r="G6" s="8" t="s">
        <v>13</v>
      </c>
      <c r="H6" s="58"/>
      <c r="I6" s="58"/>
      <c r="J6" s="58"/>
      <c r="K6" s="4" t="s">
        <v>111</v>
      </c>
      <c r="L6" s="56" t="s">
        <v>112</v>
      </c>
      <c r="M6" s="56"/>
      <c r="N6" s="56"/>
      <c r="O6" s="56"/>
    </row>
    <row r="7" spans="2:15" ht="15" customHeight="1" x14ac:dyDescent="0.25">
      <c r="B7" s="4">
        <f t="shared" ref="B7:B47" si="0">B6+1</f>
        <v>2</v>
      </c>
      <c r="C7" s="5" t="s">
        <v>17</v>
      </c>
      <c r="D7" s="6" t="s">
        <v>18</v>
      </c>
      <c r="E7" s="7" t="s">
        <v>20</v>
      </c>
      <c r="F7" s="7" t="s">
        <v>13</v>
      </c>
      <c r="G7" s="8" t="s">
        <v>13</v>
      </c>
      <c r="H7" s="58"/>
      <c r="I7" s="58"/>
      <c r="J7" s="58"/>
      <c r="K7" s="39" t="s">
        <v>115</v>
      </c>
      <c r="L7" s="4" t="s">
        <v>116</v>
      </c>
      <c r="M7" s="4"/>
      <c r="N7" s="4"/>
      <c r="O7" s="4"/>
    </row>
    <row r="8" spans="2:15" ht="15" customHeight="1" x14ac:dyDescent="0.25">
      <c r="B8" s="4">
        <f t="shared" si="0"/>
        <v>3</v>
      </c>
      <c r="C8" s="19" t="s">
        <v>163</v>
      </c>
      <c r="D8" s="24" t="s">
        <v>164</v>
      </c>
      <c r="E8" s="20" t="s">
        <v>165</v>
      </c>
      <c r="F8" s="20" t="s">
        <v>13</v>
      </c>
      <c r="G8" s="8"/>
      <c r="H8" s="4"/>
      <c r="I8" s="4"/>
      <c r="J8" s="4"/>
      <c r="K8" s="4"/>
      <c r="L8" s="4"/>
      <c r="M8" s="4"/>
      <c r="N8" s="4"/>
      <c r="O8" s="4"/>
    </row>
    <row r="9" spans="2:15" ht="15" customHeight="1" x14ac:dyDescent="0.25">
      <c r="B9" s="4">
        <f t="shared" si="0"/>
        <v>4</v>
      </c>
      <c r="C9" s="5" t="s">
        <v>22</v>
      </c>
      <c r="D9" s="66" t="s">
        <v>117</v>
      </c>
      <c r="E9" s="13" t="s">
        <v>24</v>
      </c>
      <c r="F9" s="13"/>
      <c r="G9" s="8" t="s">
        <v>13</v>
      </c>
      <c r="H9" s="58"/>
      <c r="I9" s="58"/>
      <c r="J9" s="58"/>
      <c r="K9" s="4" t="s">
        <v>111</v>
      </c>
      <c r="L9" s="4"/>
      <c r="M9" s="4"/>
      <c r="N9" s="4"/>
      <c r="O9" s="4"/>
    </row>
    <row r="10" spans="2:15" ht="15" customHeight="1" x14ac:dyDescent="0.25">
      <c r="B10" s="4">
        <f t="shared" si="0"/>
        <v>5</v>
      </c>
      <c r="C10" s="15" t="s">
        <v>25</v>
      </c>
      <c r="D10" s="67"/>
      <c r="E10" s="13"/>
      <c r="F10" s="13"/>
      <c r="G10" s="8"/>
      <c r="H10" s="58"/>
      <c r="I10" s="58"/>
      <c r="J10" s="58"/>
      <c r="K10" s="4"/>
      <c r="L10" s="4"/>
      <c r="M10" s="4"/>
      <c r="N10" s="4"/>
      <c r="O10" s="4"/>
    </row>
    <row r="11" spans="2:15" ht="15" customHeight="1" x14ac:dyDescent="0.25">
      <c r="B11" s="4">
        <f t="shared" si="0"/>
        <v>6</v>
      </c>
      <c r="C11" s="15" t="s">
        <v>26</v>
      </c>
      <c r="D11" s="68"/>
      <c r="E11" s="13"/>
      <c r="F11" s="13" t="s">
        <v>13</v>
      </c>
      <c r="G11" s="8"/>
      <c r="H11" s="58"/>
      <c r="I11" s="58"/>
      <c r="J11" s="58"/>
      <c r="K11" s="4"/>
      <c r="L11" s="4"/>
      <c r="M11" s="4"/>
      <c r="N11" s="4"/>
      <c r="O11" s="4"/>
    </row>
    <row r="12" spans="2:15" ht="15" customHeight="1" x14ac:dyDescent="0.25">
      <c r="B12" s="4">
        <f t="shared" si="0"/>
        <v>7</v>
      </c>
      <c r="C12" s="5" t="s">
        <v>31</v>
      </c>
      <c r="D12" s="75" t="s">
        <v>32</v>
      </c>
      <c r="E12" s="65" t="s">
        <v>33</v>
      </c>
      <c r="F12" s="13"/>
      <c r="G12" s="8" t="s">
        <v>13</v>
      </c>
      <c r="H12" s="58"/>
      <c r="I12" s="58"/>
      <c r="J12" s="58"/>
      <c r="K12" s="4" t="s">
        <v>111</v>
      </c>
      <c r="L12" s="4"/>
      <c r="M12" s="4"/>
      <c r="N12" s="4"/>
      <c r="O12" s="4"/>
    </row>
    <row r="13" spans="2:15" ht="15" customHeight="1" x14ac:dyDescent="0.25">
      <c r="B13" s="4">
        <f t="shared" si="0"/>
        <v>8</v>
      </c>
      <c r="C13" s="16" t="s">
        <v>34</v>
      </c>
      <c r="D13" s="68"/>
      <c r="E13" s="67"/>
      <c r="F13" s="17" t="s">
        <v>13</v>
      </c>
      <c r="G13" s="8"/>
      <c r="H13" s="4"/>
      <c r="I13" s="4"/>
      <c r="J13" s="4"/>
      <c r="K13" s="4"/>
      <c r="L13" s="4"/>
      <c r="M13" s="4"/>
      <c r="N13" s="4"/>
      <c r="O13" s="4"/>
    </row>
    <row r="14" spans="2:15" ht="15" customHeight="1" x14ac:dyDescent="0.25">
      <c r="B14" s="4">
        <f t="shared" si="0"/>
        <v>9</v>
      </c>
      <c r="C14" s="16" t="s">
        <v>36</v>
      </c>
      <c r="D14" s="66" t="s">
        <v>37</v>
      </c>
      <c r="E14" s="76" t="s">
        <v>33</v>
      </c>
      <c r="F14" s="17"/>
      <c r="G14" s="8" t="s">
        <v>13</v>
      </c>
      <c r="H14" s="27" t="s">
        <v>13</v>
      </c>
      <c r="I14" s="27"/>
      <c r="J14" s="27"/>
      <c r="K14" s="4" t="s">
        <v>111</v>
      </c>
      <c r="L14" s="4"/>
      <c r="M14" s="4"/>
      <c r="N14" s="4"/>
      <c r="O14" s="4"/>
    </row>
    <row r="15" spans="2:15" ht="15" customHeight="1" x14ac:dyDescent="0.25">
      <c r="B15" s="4">
        <f t="shared" si="0"/>
        <v>10</v>
      </c>
      <c r="C15" s="16" t="s">
        <v>38</v>
      </c>
      <c r="D15" s="67"/>
      <c r="E15" s="67"/>
      <c r="F15" s="17"/>
      <c r="G15" s="8" t="s">
        <v>13</v>
      </c>
      <c r="H15" s="27" t="s">
        <v>13</v>
      </c>
      <c r="I15" s="27"/>
      <c r="J15" s="27"/>
      <c r="K15" s="4" t="s">
        <v>111</v>
      </c>
      <c r="L15" s="4"/>
      <c r="M15" s="4"/>
      <c r="N15" s="4"/>
      <c r="O15" s="4"/>
    </row>
    <row r="16" spans="2:15" ht="15" customHeight="1" x14ac:dyDescent="0.25">
      <c r="B16" s="4">
        <f t="shared" si="0"/>
        <v>11</v>
      </c>
      <c r="C16" s="48" t="s">
        <v>166</v>
      </c>
      <c r="D16" s="68"/>
      <c r="E16" s="68"/>
      <c r="F16" s="20" t="s">
        <v>13</v>
      </c>
      <c r="G16" s="8"/>
      <c r="H16" s="4"/>
      <c r="I16" s="4"/>
      <c r="J16" s="4"/>
      <c r="K16" s="4"/>
      <c r="L16" s="4"/>
      <c r="M16" s="4"/>
      <c r="N16" s="4"/>
      <c r="O16" s="4"/>
    </row>
    <row r="17" spans="2:15" ht="15" customHeight="1" x14ac:dyDescent="0.25">
      <c r="B17" s="4">
        <f t="shared" si="0"/>
        <v>12</v>
      </c>
      <c r="C17" s="16" t="s">
        <v>39</v>
      </c>
      <c r="D17" s="66" t="s">
        <v>40</v>
      </c>
      <c r="E17" s="65" t="s">
        <v>41</v>
      </c>
      <c r="F17" s="13"/>
      <c r="G17" s="8" t="s">
        <v>13</v>
      </c>
      <c r="H17" s="27" t="s">
        <v>13</v>
      </c>
      <c r="I17" s="27"/>
      <c r="J17" s="27"/>
      <c r="K17" s="44" t="s">
        <v>125</v>
      </c>
      <c r="L17" s="44"/>
      <c r="M17" s="44"/>
      <c r="N17" s="44"/>
      <c r="O17" s="44"/>
    </row>
    <row r="18" spans="2:15" ht="15" customHeight="1" x14ac:dyDescent="0.25">
      <c r="B18" s="4">
        <f t="shared" si="0"/>
        <v>13</v>
      </c>
      <c r="C18" s="16" t="s">
        <v>42</v>
      </c>
      <c r="D18" s="68"/>
      <c r="E18" s="67"/>
      <c r="F18" s="13" t="s">
        <v>13</v>
      </c>
      <c r="G18" s="8" t="s">
        <v>13</v>
      </c>
      <c r="H18" s="27" t="s">
        <v>13</v>
      </c>
      <c r="I18" s="27"/>
      <c r="J18" s="27"/>
      <c r="K18" s="44" t="s">
        <v>125</v>
      </c>
      <c r="L18" s="44"/>
      <c r="M18" s="44"/>
      <c r="N18" s="44"/>
      <c r="O18" s="44"/>
    </row>
    <row r="19" spans="2:15" ht="15" customHeight="1" x14ac:dyDescent="0.25">
      <c r="B19" s="4">
        <f t="shared" si="0"/>
        <v>14</v>
      </c>
      <c r="C19" s="19" t="s">
        <v>167</v>
      </c>
      <c r="D19" s="24" t="s">
        <v>168</v>
      </c>
      <c r="E19" s="20" t="s">
        <v>169</v>
      </c>
      <c r="F19" s="20" t="s">
        <v>13</v>
      </c>
      <c r="G19" s="8"/>
      <c r="H19" s="4"/>
      <c r="I19" s="4"/>
      <c r="J19" s="4"/>
      <c r="K19" s="4"/>
      <c r="L19" s="4"/>
      <c r="M19" s="4"/>
      <c r="N19" s="4"/>
      <c r="O19" s="4"/>
    </row>
    <row r="20" spans="2:15" ht="15" customHeight="1" x14ac:dyDescent="0.25">
      <c r="B20" s="4">
        <f t="shared" si="0"/>
        <v>15</v>
      </c>
      <c r="C20" s="19" t="s">
        <v>126</v>
      </c>
      <c r="D20" s="66" t="s">
        <v>170</v>
      </c>
      <c r="E20" s="65" t="s">
        <v>171</v>
      </c>
      <c r="F20" s="20"/>
      <c r="G20" s="8" t="s">
        <v>13</v>
      </c>
      <c r="H20" s="4"/>
      <c r="I20" s="4"/>
      <c r="J20" s="4"/>
      <c r="K20" s="4" t="s">
        <v>128</v>
      </c>
      <c r="L20" s="56" t="s">
        <v>172</v>
      </c>
      <c r="M20" s="59">
        <v>45835</v>
      </c>
      <c r="N20" s="59"/>
      <c r="O20" s="59"/>
    </row>
    <row r="21" spans="2:15" ht="15" customHeight="1" x14ac:dyDescent="0.25">
      <c r="B21" s="4">
        <f t="shared" si="0"/>
        <v>16</v>
      </c>
      <c r="C21" s="19" t="s">
        <v>43</v>
      </c>
      <c r="D21" s="67"/>
      <c r="E21" s="67"/>
      <c r="F21" s="20"/>
      <c r="G21" s="8" t="s">
        <v>13</v>
      </c>
      <c r="H21" s="58"/>
      <c r="I21" s="58"/>
      <c r="J21" s="58"/>
      <c r="K21" s="47" t="s">
        <v>129</v>
      </c>
      <c r="L21" s="4"/>
      <c r="M21" s="4"/>
      <c r="N21" s="4"/>
      <c r="O21" s="4"/>
    </row>
    <row r="22" spans="2:15" ht="15" customHeight="1" x14ac:dyDescent="0.25">
      <c r="B22" s="4">
        <f t="shared" si="0"/>
        <v>17</v>
      </c>
      <c r="C22" s="19" t="s">
        <v>45</v>
      </c>
      <c r="D22" s="68"/>
      <c r="E22" s="68"/>
      <c r="F22" s="20" t="s">
        <v>13</v>
      </c>
      <c r="G22" s="8" t="s">
        <v>13</v>
      </c>
      <c r="H22" s="58"/>
      <c r="I22" s="58"/>
      <c r="J22" s="58"/>
      <c r="K22" s="4" t="s">
        <v>111</v>
      </c>
      <c r="L22" s="4"/>
      <c r="M22" s="4"/>
      <c r="N22" s="4"/>
      <c r="O22" s="4"/>
    </row>
    <row r="23" spans="2:15" ht="15" customHeight="1" x14ac:dyDescent="0.25">
      <c r="B23" s="4">
        <f t="shared" si="0"/>
        <v>18</v>
      </c>
      <c r="C23" s="19" t="s">
        <v>46</v>
      </c>
      <c r="D23" s="6" t="s">
        <v>47</v>
      </c>
      <c r="E23" s="20" t="s">
        <v>48</v>
      </c>
      <c r="F23" s="20" t="s">
        <v>13</v>
      </c>
      <c r="G23" s="8"/>
      <c r="H23" s="27" t="s">
        <v>13</v>
      </c>
      <c r="I23" s="27"/>
      <c r="J23" s="27"/>
      <c r="K23" s="39" t="s">
        <v>133</v>
      </c>
      <c r="L23" s="4"/>
      <c r="M23" s="4"/>
      <c r="N23" s="4"/>
      <c r="O23" s="4"/>
    </row>
    <row r="24" spans="2:15" ht="15" customHeight="1" x14ac:dyDescent="0.25">
      <c r="B24" s="4">
        <f t="shared" si="0"/>
        <v>19</v>
      </c>
      <c r="C24" s="48" t="s">
        <v>134</v>
      </c>
      <c r="D24" s="24" t="s">
        <v>50</v>
      </c>
      <c r="E24" s="20" t="s">
        <v>135</v>
      </c>
      <c r="F24" s="20" t="s">
        <v>13</v>
      </c>
      <c r="G24" s="8"/>
      <c r="H24" s="27" t="s">
        <v>13</v>
      </c>
      <c r="I24" s="27"/>
      <c r="J24" s="27"/>
      <c r="K24" s="47" t="s">
        <v>137</v>
      </c>
      <c r="L24" s="4"/>
      <c r="M24" s="4"/>
      <c r="N24" s="4"/>
      <c r="O24" s="4"/>
    </row>
    <row r="25" spans="2:15" ht="15" customHeight="1" x14ac:dyDescent="0.25">
      <c r="B25" s="4">
        <f t="shared" si="0"/>
        <v>20</v>
      </c>
      <c r="C25" s="5" t="s">
        <v>173</v>
      </c>
      <c r="D25" s="6" t="s">
        <v>174</v>
      </c>
      <c r="E25" s="7" t="s">
        <v>175</v>
      </c>
      <c r="F25" s="7" t="s">
        <v>13</v>
      </c>
      <c r="G25" s="8"/>
      <c r="H25" s="4"/>
      <c r="I25" s="4"/>
      <c r="J25" s="4"/>
      <c r="K25" s="4"/>
      <c r="L25" s="4"/>
      <c r="M25" s="4"/>
      <c r="N25" s="4"/>
      <c r="O25" s="4"/>
    </row>
    <row r="26" spans="2:15" ht="15" customHeight="1" x14ac:dyDescent="0.25">
      <c r="B26" s="4">
        <f t="shared" si="0"/>
        <v>21</v>
      </c>
      <c r="C26" s="5" t="s">
        <v>140</v>
      </c>
      <c r="D26" s="66" t="s">
        <v>176</v>
      </c>
      <c r="E26" s="76" t="s">
        <v>138</v>
      </c>
      <c r="F26" s="7"/>
      <c r="G26" s="8" t="s">
        <v>13</v>
      </c>
      <c r="H26" s="58"/>
      <c r="I26" s="58"/>
      <c r="J26" s="58"/>
      <c r="K26" s="4" t="s">
        <v>111</v>
      </c>
      <c r="L26" s="4"/>
      <c r="M26" s="4"/>
      <c r="N26" s="4"/>
      <c r="O26" s="4"/>
    </row>
    <row r="27" spans="2:15" ht="15" customHeight="1" x14ac:dyDescent="0.25">
      <c r="B27" s="4">
        <f t="shared" si="0"/>
        <v>22</v>
      </c>
      <c r="C27" s="5" t="s">
        <v>177</v>
      </c>
      <c r="D27" s="67"/>
      <c r="E27" s="67"/>
      <c r="F27" s="7"/>
      <c r="G27" s="8" t="s">
        <v>13</v>
      </c>
      <c r="H27" s="58"/>
      <c r="I27" s="58"/>
      <c r="J27" s="58"/>
      <c r="K27" s="4" t="s">
        <v>111</v>
      </c>
      <c r="L27" s="4"/>
      <c r="M27" s="4"/>
      <c r="N27" s="4"/>
      <c r="O27" s="4"/>
    </row>
    <row r="28" spans="2:15" ht="15" customHeight="1" x14ac:dyDescent="0.25">
      <c r="B28" s="4">
        <f t="shared" si="0"/>
        <v>23</v>
      </c>
      <c r="C28" s="47" t="s">
        <v>178</v>
      </c>
      <c r="D28" s="68"/>
      <c r="E28" s="68"/>
      <c r="F28" s="43" t="s">
        <v>13</v>
      </c>
      <c r="G28" s="8" t="s">
        <v>13</v>
      </c>
      <c r="H28" s="58"/>
      <c r="I28" s="58"/>
      <c r="J28" s="58"/>
      <c r="K28" s="4" t="s">
        <v>111</v>
      </c>
      <c r="L28" s="4"/>
      <c r="M28" s="4"/>
      <c r="N28" s="4"/>
      <c r="O28" s="4"/>
    </row>
    <row r="29" spans="2:15" ht="15" customHeight="1" x14ac:dyDescent="0.25">
      <c r="B29" s="4">
        <f t="shared" si="0"/>
        <v>24</v>
      </c>
      <c r="C29" s="19" t="s">
        <v>179</v>
      </c>
      <c r="D29" s="24" t="s">
        <v>180</v>
      </c>
      <c r="E29" s="20" t="s">
        <v>175</v>
      </c>
      <c r="F29" s="20" t="s">
        <v>13</v>
      </c>
      <c r="G29" s="8"/>
      <c r="H29" s="4"/>
      <c r="I29" s="4"/>
      <c r="J29" s="4"/>
      <c r="K29" s="4"/>
      <c r="L29" s="4"/>
      <c r="M29" s="4"/>
      <c r="N29" s="4"/>
      <c r="O29" s="4"/>
    </row>
    <row r="30" spans="2:15" ht="15" customHeight="1" x14ac:dyDescent="0.25">
      <c r="B30" s="4">
        <f t="shared" si="0"/>
        <v>25</v>
      </c>
      <c r="C30" s="22" t="s">
        <v>55</v>
      </c>
      <c r="D30" s="66" t="s">
        <v>181</v>
      </c>
      <c r="E30" s="65" t="s">
        <v>57</v>
      </c>
      <c r="F30" s="13"/>
      <c r="G30" s="8" t="s">
        <v>13</v>
      </c>
      <c r="H30" s="27" t="s">
        <v>13</v>
      </c>
      <c r="I30" s="27"/>
      <c r="J30" s="27"/>
      <c r="K30" s="4" t="s">
        <v>111</v>
      </c>
      <c r="L30" s="4"/>
      <c r="M30" s="4"/>
      <c r="N30" s="4"/>
      <c r="O30" s="4"/>
    </row>
    <row r="31" spans="2:15" ht="15" customHeight="1" x14ac:dyDescent="0.25">
      <c r="B31" s="4">
        <f t="shared" si="0"/>
        <v>26</v>
      </c>
      <c r="C31" s="49" t="s">
        <v>58</v>
      </c>
      <c r="D31" s="68"/>
      <c r="E31" s="67"/>
      <c r="F31" s="23" t="s">
        <v>13</v>
      </c>
      <c r="G31" s="8"/>
      <c r="H31" s="4"/>
      <c r="I31" s="4"/>
      <c r="J31" s="4"/>
      <c r="K31" s="4"/>
      <c r="L31" s="4"/>
      <c r="M31" s="4"/>
      <c r="N31" s="4"/>
      <c r="O31" s="4"/>
    </row>
    <row r="32" spans="2:15" ht="15" customHeight="1" x14ac:dyDescent="0.25">
      <c r="B32" s="4">
        <f t="shared" si="0"/>
        <v>27</v>
      </c>
      <c r="C32" s="19" t="s">
        <v>182</v>
      </c>
      <c r="D32" s="24" t="s">
        <v>159</v>
      </c>
      <c r="E32" s="20" t="s">
        <v>183</v>
      </c>
      <c r="F32" s="20" t="s">
        <v>13</v>
      </c>
      <c r="G32" s="8"/>
      <c r="H32" s="4"/>
      <c r="I32" s="4"/>
      <c r="J32" s="4"/>
      <c r="K32" s="4"/>
      <c r="L32" s="4"/>
      <c r="M32" s="4"/>
      <c r="N32" s="4"/>
      <c r="O32" s="4"/>
    </row>
    <row r="33" spans="2:15" ht="15" customHeight="1" x14ac:dyDescent="0.25">
      <c r="B33" s="4">
        <f t="shared" si="0"/>
        <v>28</v>
      </c>
      <c r="C33" s="47" t="s">
        <v>184</v>
      </c>
      <c r="D33" s="24" t="s">
        <v>185</v>
      </c>
      <c r="E33" s="43" t="s">
        <v>186</v>
      </c>
      <c r="F33" s="43" t="s">
        <v>13</v>
      </c>
      <c r="G33" s="8"/>
      <c r="H33" s="4"/>
      <c r="I33" s="4"/>
      <c r="J33" s="4"/>
      <c r="K33" s="4"/>
      <c r="L33" s="4"/>
      <c r="M33" s="4"/>
      <c r="N33" s="4"/>
      <c r="O33" s="4"/>
    </row>
    <row r="34" spans="2:15" ht="15" customHeight="1" x14ac:dyDescent="0.25">
      <c r="B34" s="4">
        <f t="shared" si="0"/>
        <v>29</v>
      </c>
      <c r="C34" s="19" t="s">
        <v>187</v>
      </c>
      <c r="D34" s="24" t="s">
        <v>188</v>
      </c>
      <c r="E34" s="20" t="s">
        <v>189</v>
      </c>
      <c r="F34" s="20" t="s">
        <v>13</v>
      </c>
      <c r="G34" s="8" t="s">
        <v>13</v>
      </c>
      <c r="H34" s="58"/>
      <c r="I34" s="58"/>
      <c r="J34" s="58"/>
      <c r="K34" s="4" t="s">
        <v>111</v>
      </c>
      <c r="L34" s="4"/>
      <c r="M34" s="4"/>
      <c r="N34" s="4"/>
      <c r="O34" s="4"/>
    </row>
    <row r="35" spans="2:15" ht="15" customHeight="1" x14ac:dyDescent="0.25">
      <c r="B35" s="4">
        <f t="shared" si="0"/>
        <v>30</v>
      </c>
      <c r="C35" s="53" t="s">
        <v>61</v>
      </c>
      <c r="D35" s="24" t="s">
        <v>62</v>
      </c>
      <c r="E35" s="25" t="s">
        <v>63</v>
      </c>
      <c r="F35" s="25" t="s">
        <v>13</v>
      </c>
      <c r="G35" s="8"/>
      <c r="H35" s="27" t="s">
        <v>13</v>
      </c>
      <c r="I35" s="27"/>
      <c r="J35" s="27"/>
      <c r="K35" s="39" t="s">
        <v>143</v>
      </c>
      <c r="L35" s="4"/>
      <c r="M35" s="60">
        <v>45818</v>
      </c>
      <c r="N35" s="4"/>
      <c r="O35" s="4"/>
    </row>
    <row r="36" spans="2:15" ht="15" customHeight="1" x14ac:dyDescent="0.25">
      <c r="B36" s="4">
        <f t="shared" si="0"/>
        <v>31</v>
      </c>
      <c r="C36" s="16" t="s">
        <v>64</v>
      </c>
      <c r="D36" s="24" t="s">
        <v>65</v>
      </c>
      <c r="E36" s="20" t="s">
        <v>66</v>
      </c>
      <c r="F36" s="20" t="s">
        <v>13</v>
      </c>
      <c r="G36" s="8" t="s">
        <v>13</v>
      </c>
      <c r="H36" s="27" t="s">
        <v>13</v>
      </c>
      <c r="I36" s="27"/>
      <c r="J36" s="27"/>
      <c r="K36" s="4" t="s">
        <v>111</v>
      </c>
      <c r="L36" s="4"/>
      <c r="M36" s="61">
        <v>45841</v>
      </c>
      <c r="N36" s="4"/>
      <c r="O36" s="4"/>
    </row>
    <row r="37" spans="2:15" ht="15" customHeight="1" x14ac:dyDescent="0.25">
      <c r="B37" s="4">
        <f t="shared" si="0"/>
        <v>32</v>
      </c>
      <c r="C37" s="55" t="s">
        <v>145</v>
      </c>
      <c r="D37" s="24" t="s">
        <v>68</v>
      </c>
      <c r="E37" s="20" t="s">
        <v>97</v>
      </c>
      <c r="F37" s="20" t="s">
        <v>13</v>
      </c>
      <c r="G37" s="8"/>
      <c r="H37" s="4"/>
      <c r="I37" s="4"/>
      <c r="J37" s="4"/>
      <c r="K37" s="39" t="s">
        <v>146</v>
      </c>
      <c r="L37" s="4"/>
      <c r="M37" s="60">
        <v>45824</v>
      </c>
      <c r="N37" s="62" t="s">
        <v>190</v>
      </c>
      <c r="O37" s="4" t="s">
        <v>191</v>
      </c>
    </row>
    <row r="38" spans="2:15" ht="15" customHeight="1" x14ac:dyDescent="0.25">
      <c r="B38" s="4">
        <f t="shared" si="0"/>
        <v>33</v>
      </c>
      <c r="C38" s="19" t="s">
        <v>71</v>
      </c>
      <c r="D38" s="24" t="s">
        <v>72</v>
      </c>
      <c r="E38" s="20" t="s">
        <v>73</v>
      </c>
      <c r="F38" s="20" t="s">
        <v>13</v>
      </c>
      <c r="G38" s="8"/>
      <c r="H38" s="58"/>
      <c r="I38" s="58"/>
      <c r="J38" s="58"/>
      <c r="K38" s="39" t="s">
        <v>148</v>
      </c>
      <c r="L38" s="4"/>
      <c r="M38" s="4"/>
      <c r="N38" s="4"/>
      <c r="O38" s="4"/>
    </row>
    <row r="39" spans="2:15" ht="15" customHeight="1" x14ac:dyDescent="0.25">
      <c r="B39" s="4">
        <f t="shared" si="0"/>
        <v>34</v>
      </c>
      <c r="C39" s="15" t="s">
        <v>74</v>
      </c>
      <c r="D39" s="24" t="s">
        <v>75</v>
      </c>
      <c r="E39" s="20" t="s">
        <v>48</v>
      </c>
      <c r="F39" s="13" t="s">
        <v>13</v>
      </c>
      <c r="G39" s="8"/>
      <c r="H39" s="4"/>
      <c r="I39" s="4"/>
      <c r="J39" s="4"/>
      <c r="K39" s="39" t="s">
        <v>149</v>
      </c>
      <c r="L39" s="4"/>
      <c r="M39" s="4"/>
      <c r="N39" s="4"/>
      <c r="O39" s="4"/>
    </row>
    <row r="40" spans="2:15" ht="15" customHeight="1" x14ac:dyDescent="0.25">
      <c r="B40" s="4">
        <f t="shared" si="0"/>
        <v>35</v>
      </c>
      <c r="C40" s="19" t="s">
        <v>76</v>
      </c>
      <c r="D40" s="24" t="s">
        <v>77</v>
      </c>
      <c r="E40" s="20" t="s">
        <v>66</v>
      </c>
      <c r="F40" s="20" t="s">
        <v>13</v>
      </c>
      <c r="G40" s="8" t="s">
        <v>13</v>
      </c>
      <c r="H40" s="27" t="s">
        <v>13</v>
      </c>
      <c r="I40" s="27"/>
      <c r="J40" s="27"/>
      <c r="K40" s="39" t="s">
        <v>150</v>
      </c>
      <c r="L40" s="56" t="s">
        <v>192</v>
      </c>
      <c r="M40" s="63" t="s">
        <v>193</v>
      </c>
      <c r="N40" s="63"/>
      <c r="O40" s="63"/>
    </row>
    <row r="41" spans="2:15" ht="15" customHeight="1" x14ac:dyDescent="0.25">
      <c r="B41" s="4">
        <f t="shared" si="0"/>
        <v>36</v>
      </c>
      <c r="C41" s="15" t="s">
        <v>194</v>
      </c>
      <c r="D41" s="24" t="s">
        <v>152</v>
      </c>
      <c r="E41" s="20" t="s">
        <v>66</v>
      </c>
      <c r="F41" s="13" t="s">
        <v>13</v>
      </c>
      <c r="G41" s="8"/>
      <c r="H41" s="4"/>
      <c r="I41" s="4"/>
      <c r="J41" s="4"/>
      <c r="K41" s="4"/>
      <c r="L41" s="4"/>
      <c r="M41" s="4"/>
      <c r="N41" s="4"/>
      <c r="O41" s="4"/>
    </row>
    <row r="42" spans="2:15" ht="15" customHeight="1" x14ac:dyDescent="0.25">
      <c r="B42" s="4">
        <f t="shared" si="0"/>
        <v>37</v>
      </c>
      <c r="C42" s="15" t="s">
        <v>82</v>
      </c>
      <c r="D42" s="66" t="s">
        <v>83</v>
      </c>
      <c r="E42" s="65" t="s">
        <v>84</v>
      </c>
      <c r="F42" s="13"/>
      <c r="G42" s="8" t="s">
        <v>13</v>
      </c>
      <c r="H42" s="58"/>
      <c r="I42" s="58"/>
      <c r="J42" s="58"/>
      <c r="K42" s="4" t="s">
        <v>111</v>
      </c>
      <c r="L42" s="4"/>
      <c r="M42" s="4"/>
      <c r="N42" s="4"/>
      <c r="O42" s="4"/>
    </row>
    <row r="43" spans="2:15" ht="15" customHeight="1" x14ac:dyDescent="0.25">
      <c r="B43" s="4">
        <f t="shared" si="0"/>
        <v>38</v>
      </c>
      <c r="C43" s="15" t="s">
        <v>85</v>
      </c>
      <c r="D43" s="67"/>
      <c r="E43" s="67"/>
      <c r="F43" s="13"/>
      <c r="G43" s="8" t="s">
        <v>13</v>
      </c>
      <c r="H43" s="58"/>
      <c r="I43" s="58"/>
      <c r="J43" s="58"/>
      <c r="K43" s="4" t="s">
        <v>111</v>
      </c>
      <c r="L43" s="4"/>
      <c r="M43" s="4"/>
      <c r="N43" s="4"/>
      <c r="O43" s="4"/>
    </row>
    <row r="44" spans="2:15" ht="15" customHeight="1" x14ac:dyDescent="0.25">
      <c r="B44" s="4">
        <f t="shared" si="0"/>
        <v>39</v>
      </c>
      <c r="C44" s="19" t="s">
        <v>86</v>
      </c>
      <c r="D44" s="68"/>
      <c r="E44" s="68"/>
      <c r="F44" s="20" t="s">
        <v>13</v>
      </c>
      <c r="G44" s="20" t="s">
        <v>13</v>
      </c>
      <c r="H44" s="27" t="s">
        <v>13</v>
      </c>
      <c r="I44" s="27"/>
      <c r="J44" s="27"/>
      <c r="K44" s="4" t="s">
        <v>111</v>
      </c>
      <c r="L44" s="4"/>
      <c r="M44" s="4"/>
      <c r="N44" s="4"/>
      <c r="O44" s="4"/>
    </row>
    <row r="45" spans="2:15" ht="15" customHeight="1" x14ac:dyDescent="0.25">
      <c r="B45" s="4">
        <f t="shared" si="0"/>
        <v>40</v>
      </c>
      <c r="C45" s="19" t="s">
        <v>88</v>
      </c>
      <c r="D45" s="24" t="s">
        <v>89</v>
      </c>
      <c r="E45" s="20" t="s">
        <v>90</v>
      </c>
      <c r="F45" s="20" t="s">
        <v>13</v>
      </c>
      <c r="G45" s="20" t="s">
        <v>13</v>
      </c>
      <c r="H45" s="27" t="s">
        <v>13</v>
      </c>
      <c r="I45" s="27"/>
      <c r="J45" s="27"/>
      <c r="K45" s="4" t="s">
        <v>111</v>
      </c>
      <c r="L45" s="4"/>
      <c r="M45" s="40"/>
      <c r="N45" s="40"/>
      <c r="O45" s="40"/>
    </row>
    <row r="46" spans="2:15" ht="15" customHeight="1" x14ac:dyDescent="0.25">
      <c r="B46" s="4">
        <f t="shared" si="0"/>
        <v>41</v>
      </c>
      <c r="C46" s="19" t="s">
        <v>91</v>
      </c>
      <c r="D46" s="24" t="s">
        <v>92</v>
      </c>
      <c r="E46" s="20" t="s">
        <v>41</v>
      </c>
      <c r="F46" s="20" t="s">
        <v>13</v>
      </c>
      <c r="G46" s="20" t="s">
        <v>13</v>
      </c>
      <c r="H46" s="27" t="s">
        <v>13</v>
      </c>
      <c r="I46" s="27"/>
      <c r="J46" s="27"/>
      <c r="K46" s="4" t="s">
        <v>111</v>
      </c>
      <c r="L46" s="4"/>
      <c r="M46" s="40"/>
      <c r="N46" s="40"/>
      <c r="O46" s="40"/>
    </row>
    <row r="47" spans="2:15" ht="15" customHeight="1" x14ac:dyDescent="0.25">
      <c r="B47" s="4">
        <f t="shared" si="0"/>
        <v>42</v>
      </c>
      <c r="C47" s="28" t="s">
        <v>95</v>
      </c>
      <c r="D47" s="29" t="s">
        <v>96</v>
      </c>
      <c r="E47" s="20" t="s">
        <v>97</v>
      </c>
      <c r="F47" s="30" t="s">
        <v>13</v>
      </c>
      <c r="G47" s="30" t="s">
        <v>13</v>
      </c>
      <c r="H47" s="27" t="s">
        <v>13</v>
      </c>
      <c r="I47" s="27"/>
      <c r="J47" s="27"/>
      <c r="K47" s="4" t="s">
        <v>111</v>
      </c>
      <c r="L47" s="4"/>
      <c r="M47" s="40"/>
      <c r="N47" s="40"/>
      <c r="O47" s="40"/>
    </row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5">
    <mergeCell ref="D42:D44"/>
    <mergeCell ref="E42:E44"/>
    <mergeCell ref="D9:D11"/>
    <mergeCell ref="D12:D13"/>
    <mergeCell ref="E12:E13"/>
    <mergeCell ref="D14:D16"/>
    <mergeCell ref="E14:E16"/>
    <mergeCell ref="D17:D18"/>
    <mergeCell ref="E17:E18"/>
    <mergeCell ref="D20:D22"/>
    <mergeCell ref="E20:E22"/>
    <mergeCell ref="D26:D28"/>
    <mergeCell ref="E26:E28"/>
    <mergeCell ref="D30:D31"/>
    <mergeCell ref="E30:E3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RIS iniciadoras al 2026</vt:lpstr>
      <vt:lpstr>Detalle de RIS iniciadoras 2025</vt:lpstr>
      <vt:lpstr>FECHAS DE AT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DE LOS ANGELES TUTAYA QUISPE</dc:creator>
  <cp:lastModifiedBy>Roberto Terrones</cp:lastModifiedBy>
  <dcterms:created xsi:type="dcterms:W3CDTF">2024-02-12T16:54:56Z</dcterms:created>
  <dcterms:modified xsi:type="dcterms:W3CDTF">2026-02-21T15:33:49Z</dcterms:modified>
</cp:coreProperties>
</file>